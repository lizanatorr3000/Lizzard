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iplomaplc.sharepoint.com/sites/DeliveringValueResponsibly/Shared Documents/General/Environment/GGE/Rebaseline 2025/"/>
    </mc:Choice>
  </mc:AlternateContent>
  <xr:revisionPtr revIDLastSave="445" documentId="8_{88687E1A-66C7-4D10-B526-0D7FC5045B97}" xr6:coauthVersionLast="47" xr6:coauthVersionMax="47" xr10:uidLastSave="{19A95EA4-3957-4FC0-BD57-7394E76C4C54}"/>
  <bookViews>
    <workbookView xWindow="-19590" yWindow="-21975" windowWidth="38640" windowHeight="21120" activeTab="6" xr2:uid="{218B833E-4AFB-4E36-B7AA-8632C8EDCB0F}"/>
  </bookViews>
  <sheets>
    <sheet name="Summary" sheetId="9" r:id="rId1"/>
    <sheet name="FY25 H1" sheetId="8" r:id="rId2"/>
    <sheet name="FY24" sheetId="3" r:id="rId3"/>
    <sheet name="FY24 + HFM" sheetId="10" r:id="rId4"/>
    <sheet name="HFM Codes" sheetId="11" r:id="rId5"/>
    <sheet name="FY23" sheetId="6" r:id="rId6"/>
    <sheet name="FY22" sheetId="7" r:id="rId7"/>
  </sheets>
  <definedNames>
    <definedName name="_xlnm._FilterDatabase" localSheetId="3" hidden="1">'FY24 + HFM'!$A$1:$X$148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3" l="1"/>
  <c r="F26" i="3"/>
  <c r="D115" i="10"/>
  <c r="D8" i="10"/>
  <c r="D23" i="10"/>
  <c r="D118" i="10"/>
  <c r="D6" i="10"/>
  <c r="D114" i="10"/>
  <c r="D43" i="10"/>
  <c r="D128" i="10"/>
  <c r="D76" i="10"/>
  <c r="D20" i="10"/>
  <c r="D136" i="10"/>
  <c r="D10" i="10"/>
  <c r="D37" i="10"/>
  <c r="D40" i="10"/>
  <c r="D117" i="10"/>
  <c r="D110" i="10"/>
  <c r="D129" i="10"/>
  <c r="D30" i="10"/>
  <c r="D65" i="10"/>
  <c r="D32" i="10"/>
  <c r="D86" i="10"/>
  <c r="D45" i="10"/>
  <c r="D60" i="10"/>
  <c r="D100" i="10"/>
  <c r="D18" i="10"/>
  <c r="D39" i="10"/>
  <c r="D143" i="10"/>
  <c r="D16" i="10"/>
  <c r="D9" i="10"/>
  <c r="D54" i="10"/>
  <c r="D144" i="10"/>
  <c r="D142" i="10"/>
  <c r="D104" i="10"/>
  <c r="D79" i="10"/>
  <c r="D73" i="10"/>
  <c r="D146" i="10"/>
  <c r="D55" i="10"/>
  <c r="D116" i="10"/>
  <c r="D13" i="10"/>
  <c r="D81" i="10"/>
  <c r="D44" i="10"/>
  <c r="D87" i="10"/>
  <c r="D56" i="10"/>
  <c r="D15" i="10"/>
  <c r="D126" i="10"/>
  <c r="D78" i="10"/>
  <c r="D34" i="10"/>
  <c r="D90" i="10"/>
  <c r="D12" i="10"/>
  <c r="D112" i="10"/>
  <c r="D99" i="10"/>
  <c r="D93" i="10"/>
  <c r="D14" i="10"/>
  <c r="D96" i="10"/>
  <c r="D107" i="10"/>
  <c r="D106" i="10"/>
  <c r="D105" i="10"/>
  <c r="D98" i="10"/>
  <c r="D97" i="10"/>
  <c r="D130" i="10"/>
  <c r="D131" i="10"/>
  <c r="D119" i="10"/>
  <c r="D4" i="10"/>
  <c r="D120" i="10"/>
  <c r="D48" i="10"/>
  <c r="D123" i="10"/>
  <c r="D137" i="10"/>
  <c r="D124" i="10"/>
  <c r="D140" i="10"/>
  <c r="D66" i="10"/>
  <c r="D125" i="10"/>
  <c r="D77" i="10"/>
  <c r="D148" i="10"/>
  <c r="D82" i="10"/>
  <c r="D85" i="10"/>
  <c r="D71" i="10"/>
  <c r="D113" i="10"/>
  <c r="D134" i="10"/>
  <c r="D135" i="10"/>
  <c r="D35" i="10"/>
  <c r="D53" i="10"/>
  <c r="D19" i="10"/>
  <c r="D52" i="10"/>
  <c r="D41" i="10"/>
  <c r="D67" i="10"/>
  <c r="D147" i="10"/>
  <c r="D133" i="10"/>
  <c r="D46" i="10"/>
  <c r="D49" i="10"/>
  <c r="D27" i="10"/>
  <c r="D28" i="10"/>
  <c r="D64" i="10"/>
  <c r="D68" i="10"/>
  <c r="D62" i="10"/>
  <c r="D80" i="10"/>
  <c r="D58" i="10"/>
  <c r="D59" i="10"/>
  <c r="D17" i="10"/>
  <c r="D63" i="10"/>
  <c r="D84" i="10"/>
  <c r="D75" i="10"/>
  <c r="D51" i="10"/>
  <c r="D74" i="10"/>
  <c r="D83" i="10"/>
  <c r="D21" i="10"/>
  <c r="D31" i="10"/>
  <c r="D138" i="10"/>
  <c r="D141" i="10"/>
  <c r="D132" i="10"/>
  <c r="D36" i="10"/>
  <c r="D61" i="10"/>
  <c r="D69" i="10"/>
  <c r="D47" i="10"/>
  <c r="D33" i="10"/>
  <c r="D29" i="10"/>
  <c r="D11" i="10"/>
  <c r="D24" i="10"/>
  <c r="D25" i="10"/>
  <c r="D94" i="10"/>
  <c r="D95" i="10"/>
  <c r="D103" i="10"/>
  <c r="D102" i="10"/>
  <c r="D111" i="10"/>
  <c r="D122" i="10"/>
  <c r="D101" i="10"/>
  <c r="D109" i="10"/>
  <c r="D108" i="10"/>
  <c r="D50" i="10"/>
  <c r="D42" i="10"/>
  <c r="D22" i="10"/>
  <c r="D2" i="10"/>
  <c r="D72" i="10"/>
  <c r="D145" i="10"/>
  <c r="D92" i="10"/>
  <c r="D127" i="10"/>
  <c r="D91" i="10"/>
  <c r="D88" i="10"/>
  <c r="D7" i="10"/>
  <c r="D121" i="10"/>
  <c r="D57" i="10"/>
  <c r="D3" i="10"/>
  <c r="D89" i="10"/>
  <c r="D26" i="10"/>
  <c r="D5" i="10"/>
  <c r="D70" i="10"/>
  <c r="D38" i="10"/>
  <c r="D139" i="10"/>
  <c r="C115" i="10"/>
  <c r="C8" i="10"/>
  <c r="C23" i="10"/>
  <c r="C118" i="10"/>
  <c r="C6" i="10"/>
  <c r="C114" i="10"/>
  <c r="C43" i="10"/>
  <c r="C128" i="10"/>
  <c r="C76" i="10"/>
  <c r="C20" i="10"/>
  <c r="C136" i="10"/>
  <c r="C10" i="10"/>
  <c r="C37" i="10"/>
  <c r="C40" i="10"/>
  <c r="C117" i="10"/>
  <c r="C110" i="10"/>
  <c r="C129" i="10"/>
  <c r="C30" i="10"/>
  <c r="C65" i="10"/>
  <c r="C32" i="10"/>
  <c r="C86" i="10"/>
  <c r="C45" i="10"/>
  <c r="C60" i="10"/>
  <c r="C100" i="10"/>
  <c r="C18" i="10"/>
  <c r="C39" i="10"/>
  <c r="C143" i="10"/>
  <c r="C16" i="10"/>
  <c r="C9" i="10"/>
  <c r="C54" i="10"/>
  <c r="C144" i="10"/>
  <c r="C142" i="10"/>
  <c r="C104" i="10"/>
  <c r="C79" i="10"/>
  <c r="C73" i="10"/>
  <c r="C146" i="10"/>
  <c r="C55" i="10"/>
  <c r="C116" i="10"/>
  <c r="C13" i="10"/>
  <c r="C81" i="10"/>
  <c r="C44" i="10"/>
  <c r="C87" i="10"/>
  <c r="C56" i="10"/>
  <c r="C15" i="10"/>
  <c r="C126" i="10"/>
  <c r="C78" i="10"/>
  <c r="C34" i="10"/>
  <c r="C90" i="10"/>
  <c r="C12" i="10"/>
  <c r="C112" i="10"/>
  <c r="C99" i="10"/>
  <c r="C93" i="10"/>
  <c r="C14" i="10"/>
  <c r="C96" i="10"/>
  <c r="C107" i="10"/>
  <c r="C106" i="10"/>
  <c r="C105" i="10"/>
  <c r="C98" i="10"/>
  <c r="C97" i="10"/>
  <c r="C130" i="10"/>
  <c r="C131" i="10"/>
  <c r="C119" i="10"/>
  <c r="C4" i="10"/>
  <c r="C120" i="10"/>
  <c r="C48" i="10"/>
  <c r="C123" i="10"/>
  <c r="C137" i="10"/>
  <c r="C124" i="10"/>
  <c r="C140" i="10"/>
  <c r="C66" i="10"/>
  <c r="C125" i="10"/>
  <c r="C77" i="10"/>
  <c r="C148" i="10"/>
  <c r="C82" i="10"/>
  <c r="C85" i="10"/>
  <c r="C71" i="10"/>
  <c r="C113" i="10"/>
  <c r="C134" i="10"/>
  <c r="C135" i="10"/>
  <c r="C35" i="10"/>
  <c r="C53" i="10"/>
  <c r="C19" i="10"/>
  <c r="C52" i="10"/>
  <c r="C41" i="10"/>
  <c r="C67" i="10"/>
  <c r="C147" i="10"/>
  <c r="C133" i="10"/>
  <c r="C46" i="10"/>
  <c r="C49" i="10"/>
  <c r="C27" i="10"/>
  <c r="C28" i="10"/>
  <c r="C64" i="10"/>
  <c r="C68" i="10"/>
  <c r="C62" i="10"/>
  <c r="C80" i="10"/>
  <c r="C58" i="10"/>
  <c r="C59" i="10"/>
  <c r="C17" i="10"/>
  <c r="C63" i="10"/>
  <c r="C84" i="10"/>
  <c r="C75" i="10"/>
  <c r="C51" i="10"/>
  <c r="C74" i="10"/>
  <c r="C83" i="10"/>
  <c r="C21" i="10"/>
  <c r="C31" i="10"/>
  <c r="C138" i="10"/>
  <c r="C141" i="10"/>
  <c r="C132" i="10"/>
  <c r="C36" i="10"/>
  <c r="C61" i="10"/>
  <c r="C69" i="10"/>
  <c r="C47" i="10"/>
  <c r="C33" i="10"/>
  <c r="C29" i="10"/>
  <c r="C11" i="10"/>
  <c r="C24" i="10"/>
  <c r="C25" i="10"/>
  <c r="C94" i="10"/>
  <c r="C95" i="10"/>
  <c r="C103" i="10"/>
  <c r="C102" i="10"/>
  <c r="C111" i="10"/>
  <c r="C122" i="10"/>
  <c r="C101" i="10"/>
  <c r="C109" i="10"/>
  <c r="C108" i="10"/>
  <c r="C50" i="10"/>
  <c r="C42" i="10"/>
  <c r="C22" i="10"/>
  <c r="C2" i="10"/>
  <c r="C72" i="10"/>
  <c r="C145" i="10"/>
  <c r="C92" i="10"/>
  <c r="C127" i="10"/>
  <c r="C91" i="10"/>
  <c r="C88" i="10"/>
  <c r="C7" i="10"/>
  <c r="C121" i="10"/>
  <c r="C57" i="10"/>
  <c r="C3" i="10"/>
  <c r="C89" i="10"/>
  <c r="C26" i="10"/>
  <c r="C5" i="10"/>
  <c r="C70" i="10"/>
  <c r="C38" i="10"/>
  <c r="C139" i="10"/>
  <c r="B139" i="10" l="1"/>
  <c r="B115" i="10"/>
  <c r="B8" i="10"/>
  <c r="B23" i="10"/>
  <c r="B118" i="10"/>
  <c r="B6" i="10"/>
  <c r="B114" i="10"/>
  <c r="B43" i="10"/>
  <c r="B128" i="10"/>
  <c r="B76" i="10"/>
  <c r="B20" i="10"/>
  <c r="B136" i="10"/>
  <c r="B10" i="10"/>
  <c r="B37" i="10"/>
  <c r="B40" i="10"/>
  <c r="B117" i="10"/>
  <c r="B110" i="10"/>
  <c r="B129" i="10"/>
  <c r="B30" i="10"/>
  <c r="B65" i="10"/>
  <c r="B32" i="10"/>
  <c r="B86" i="10"/>
  <c r="B45" i="10"/>
  <c r="B60" i="10"/>
  <c r="B100" i="10"/>
  <c r="B18" i="10"/>
  <c r="B39" i="10"/>
  <c r="B143" i="10"/>
  <c r="B16" i="10"/>
  <c r="B9" i="10"/>
  <c r="B54" i="10"/>
  <c r="B144" i="10"/>
  <c r="B142" i="10"/>
  <c r="B104" i="10"/>
  <c r="B79" i="10"/>
  <c r="B73" i="10"/>
  <c r="B146" i="10"/>
  <c r="B55" i="10"/>
  <c r="B116" i="10"/>
  <c r="B13" i="10"/>
  <c r="B81" i="10"/>
  <c r="B44" i="10"/>
  <c r="B87" i="10"/>
  <c r="B56" i="10"/>
  <c r="B15" i="10"/>
  <c r="B126" i="10"/>
  <c r="B78" i="10"/>
  <c r="B34" i="10"/>
  <c r="B90" i="10"/>
  <c r="B12" i="10"/>
  <c r="B112" i="10"/>
  <c r="B99" i="10"/>
  <c r="B93" i="10"/>
  <c r="B14" i="10"/>
  <c r="B96" i="10"/>
  <c r="B107" i="10"/>
  <c r="B106" i="10"/>
  <c r="B105" i="10"/>
  <c r="B98" i="10"/>
  <c r="B97" i="10"/>
  <c r="B130" i="10"/>
  <c r="B131" i="10"/>
  <c r="B119" i="10"/>
  <c r="B4" i="10"/>
  <c r="B120" i="10"/>
  <c r="B48" i="10"/>
  <c r="B123" i="10"/>
  <c r="B137" i="10"/>
  <c r="B124" i="10"/>
  <c r="B140" i="10"/>
  <c r="B66" i="10"/>
  <c r="B125" i="10"/>
  <c r="B77" i="10"/>
  <c r="B148" i="10"/>
  <c r="B82" i="10"/>
  <c r="B85" i="10"/>
  <c r="B71" i="10"/>
  <c r="B113" i="10"/>
  <c r="B134" i="10"/>
  <c r="B135" i="10"/>
  <c r="B35" i="10"/>
  <c r="B53" i="10"/>
  <c r="B19" i="10"/>
  <c r="B52" i="10"/>
  <c r="B41" i="10"/>
  <c r="B67" i="10"/>
  <c r="B147" i="10"/>
  <c r="B133" i="10"/>
  <c r="B46" i="10"/>
  <c r="B49" i="10"/>
  <c r="B27" i="10"/>
  <c r="B28" i="10"/>
  <c r="B64" i="10"/>
  <c r="B68" i="10"/>
  <c r="B62" i="10"/>
  <c r="B80" i="10"/>
  <c r="B58" i="10"/>
  <c r="B59" i="10"/>
  <c r="B17" i="10"/>
  <c r="B63" i="10"/>
  <c r="B84" i="10"/>
  <c r="B75" i="10"/>
  <c r="B51" i="10"/>
  <c r="B74" i="10"/>
  <c r="B83" i="10"/>
  <c r="B21" i="10"/>
  <c r="B31" i="10"/>
  <c r="B138" i="10"/>
  <c r="B141" i="10"/>
  <c r="B132" i="10"/>
  <c r="B36" i="10"/>
  <c r="B61" i="10"/>
  <c r="B69" i="10"/>
  <c r="B47" i="10"/>
  <c r="B33" i="10"/>
  <c r="B29" i="10"/>
  <c r="B11" i="10"/>
  <c r="B24" i="10"/>
  <c r="B25" i="10"/>
  <c r="B94" i="10"/>
  <c r="B95" i="10"/>
  <c r="B103" i="10"/>
  <c r="B102" i="10"/>
  <c r="B111" i="10"/>
  <c r="B122" i="10"/>
  <c r="B101" i="10"/>
  <c r="B109" i="10"/>
  <c r="B108" i="10"/>
  <c r="B50" i="10"/>
  <c r="B42" i="10"/>
  <c r="B22" i="10"/>
  <c r="B2" i="10"/>
  <c r="B72" i="10"/>
  <c r="B145" i="10"/>
  <c r="B92" i="10"/>
  <c r="B127" i="10"/>
  <c r="B91" i="10"/>
  <c r="B88" i="10"/>
  <c r="B7" i="10"/>
  <c r="B121" i="10"/>
  <c r="B57" i="10"/>
  <c r="B3" i="10"/>
  <c r="B89" i="10"/>
  <c r="B26" i="10"/>
  <c r="B5" i="10"/>
  <c r="B70" i="10"/>
  <c r="B38" i="10"/>
  <c r="F19" i="7" l="1"/>
  <c r="F18" i="7"/>
  <c r="F15" i="7"/>
  <c r="F14" i="7"/>
  <c r="F13" i="7"/>
  <c r="F12" i="7"/>
  <c r="FC24" i="7"/>
  <c r="EM24" i="7"/>
  <c r="DW24" i="7"/>
  <c r="DG24" i="7"/>
  <c r="CQ24" i="7"/>
  <c r="CA24" i="7"/>
  <c r="BK24" i="7"/>
  <c r="AU24" i="7"/>
  <c r="AE24" i="7"/>
  <c r="F11" i="7"/>
  <c r="FI23" i="7"/>
  <c r="ES23" i="7"/>
  <c r="EC23" i="7"/>
  <c r="DM23" i="7"/>
  <c r="CW23" i="7"/>
  <c r="CG23" i="7"/>
  <c r="BQ23" i="7"/>
  <c r="BA23" i="7"/>
  <c r="AK23" i="7"/>
  <c r="U23" i="7"/>
  <c r="FQ24" i="7"/>
  <c r="FP24" i="7"/>
  <c r="FO24" i="7"/>
  <c r="FN24" i="7"/>
  <c r="FM24" i="7"/>
  <c r="FL24" i="7"/>
  <c r="FK24" i="7"/>
  <c r="FJ24" i="7"/>
  <c r="FI24" i="7"/>
  <c r="FH24" i="7"/>
  <c r="FG23" i="7"/>
  <c r="FF23" i="7"/>
  <c r="FE23" i="7"/>
  <c r="FD23" i="7"/>
  <c r="FC23" i="7"/>
  <c r="FB23" i="7"/>
  <c r="FA24" i="7"/>
  <c r="EZ24" i="7"/>
  <c r="EY24" i="7"/>
  <c r="EX24" i="7"/>
  <c r="EW24" i="7"/>
  <c r="EV24" i="7"/>
  <c r="EU24" i="7"/>
  <c r="ET24" i="7"/>
  <c r="ES24" i="7"/>
  <c r="ER24" i="7"/>
  <c r="EQ23" i="7"/>
  <c r="EP23" i="7"/>
  <c r="EO23" i="7"/>
  <c r="EN23" i="7"/>
  <c r="EM23" i="7"/>
  <c r="EL23" i="7"/>
  <c r="EK24" i="7"/>
  <c r="EJ24" i="7"/>
  <c r="EI24" i="7"/>
  <c r="EH24" i="7"/>
  <c r="EG24" i="7"/>
  <c r="EF24" i="7"/>
  <c r="EE24" i="7"/>
  <c r="ED24" i="7"/>
  <c r="EC24" i="7"/>
  <c r="EB24" i="7"/>
  <c r="EA23" i="7"/>
  <c r="DZ23" i="7"/>
  <c r="DY23" i="7"/>
  <c r="DX23" i="7"/>
  <c r="DW23" i="7"/>
  <c r="DV23" i="7"/>
  <c r="DU24" i="7"/>
  <c r="DT24" i="7"/>
  <c r="DS24" i="7"/>
  <c r="DR24" i="7"/>
  <c r="DQ24" i="7"/>
  <c r="DP24" i="7"/>
  <c r="DO24" i="7"/>
  <c r="DN24" i="7"/>
  <c r="DM24" i="7"/>
  <c r="DL24" i="7"/>
  <c r="DK23" i="7"/>
  <c r="DJ23" i="7"/>
  <c r="DI23" i="7"/>
  <c r="DH23" i="7"/>
  <c r="DG23" i="7"/>
  <c r="DF23" i="7"/>
  <c r="DE24" i="7"/>
  <c r="DD24" i="7"/>
  <c r="DC24" i="7"/>
  <c r="DB24" i="7"/>
  <c r="DA24" i="7"/>
  <c r="CZ24" i="7"/>
  <c r="CY24" i="7"/>
  <c r="CX24" i="7"/>
  <c r="CW24" i="7"/>
  <c r="CV24" i="7"/>
  <c r="CU23" i="7"/>
  <c r="CT23" i="7"/>
  <c r="CS23" i="7"/>
  <c r="CR23" i="7"/>
  <c r="CQ23" i="7"/>
  <c r="CP23" i="7"/>
  <c r="CO24" i="7"/>
  <c r="CN24" i="7"/>
  <c r="CM24" i="7"/>
  <c r="CL24" i="7"/>
  <c r="CK24" i="7"/>
  <c r="CJ24" i="7"/>
  <c r="CI24" i="7"/>
  <c r="CH24" i="7"/>
  <c r="CG24" i="7"/>
  <c r="CF24" i="7"/>
  <c r="CE23" i="7"/>
  <c r="CD23" i="7"/>
  <c r="CC23" i="7"/>
  <c r="CB23" i="7"/>
  <c r="CA23" i="7"/>
  <c r="BZ23" i="7"/>
  <c r="BY24" i="7"/>
  <c r="BX24" i="7"/>
  <c r="BW24" i="7"/>
  <c r="BV24" i="7"/>
  <c r="BU24" i="7"/>
  <c r="BT24" i="7"/>
  <c r="BS24" i="7"/>
  <c r="BR24" i="7"/>
  <c r="BQ24" i="7"/>
  <c r="BP24" i="7"/>
  <c r="BO23" i="7"/>
  <c r="BN23" i="7"/>
  <c r="BM23" i="7"/>
  <c r="BL23" i="7"/>
  <c r="BK23" i="7"/>
  <c r="BJ23" i="7"/>
  <c r="BI24" i="7"/>
  <c r="BH24" i="7"/>
  <c r="BG24" i="7"/>
  <c r="BF24" i="7"/>
  <c r="BE24" i="7"/>
  <c r="BD24" i="7"/>
  <c r="BC24" i="7"/>
  <c r="BB24" i="7"/>
  <c r="BA24" i="7"/>
  <c r="AZ24" i="7"/>
  <c r="AY23" i="7"/>
  <c r="AX23" i="7"/>
  <c r="AW23" i="7"/>
  <c r="AV23" i="7"/>
  <c r="AU23" i="7"/>
  <c r="AT23" i="7"/>
  <c r="AS24" i="7"/>
  <c r="AR24" i="7"/>
  <c r="AQ24" i="7"/>
  <c r="AP24" i="7"/>
  <c r="AO24" i="7"/>
  <c r="AN24" i="7"/>
  <c r="AM24" i="7"/>
  <c r="AL24" i="7"/>
  <c r="AK24" i="7"/>
  <c r="AJ24" i="7"/>
  <c r="AI23" i="7"/>
  <c r="AH23" i="7"/>
  <c r="AG23" i="7"/>
  <c r="AF23" i="7"/>
  <c r="AE23" i="7"/>
  <c r="AD23" i="7"/>
  <c r="AC24" i="7"/>
  <c r="AB24" i="7"/>
  <c r="AA24" i="7"/>
  <c r="Z24" i="7"/>
  <c r="Y24" i="7"/>
  <c r="X24" i="7"/>
  <c r="W24" i="7"/>
  <c r="V24" i="7"/>
  <c r="U24" i="7"/>
  <c r="T24" i="7"/>
  <c r="S23" i="7"/>
  <c r="R23" i="7"/>
  <c r="Q23" i="7"/>
  <c r="P23" i="7"/>
  <c r="O23" i="7"/>
  <c r="N23" i="7"/>
  <c r="M24" i="7"/>
  <c r="L24" i="7"/>
  <c r="K24" i="7"/>
  <c r="J24" i="7"/>
  <c r="I24" i="7"/>
  <c r="H24" i="7"/>
  <c r="F10" i="7"/>
  <c r="F9" i="7"/>
  <c r="G24" i="7"/>
  <c r="G23" i="7"/>
  <c r="F22" i="7"/>
  <c r="F21" i="7"/>
  <c r="F20" i="7"/>
  <c r="F17" i="7"/>
  <c r="F16" i="7"/>
  <c r="F7" i="7"/>
  <c r="F6" i="7"/>
  <c r="F5" i="7"/>
  <c r="G53" i="7"/>
  <c r="F53" i="7"/>
  <c r="T23" i="7" l="1"/>
  <c r="AJ23" i="7"/>
  <c r="AZ23" i="7"/>
  <c r="BP23" i="7"/>
  <c r="CF23" i="7"/>
  <c r="CV23" i="7"/>
  <c r="DL23" i="7"/>
  <c r="EB23" i="7"/>
  <c r="ER23" i="7"/>
  <c r="FH23" i="7"/>
  <c r="N24" i="7"/>
  <c r="AD24" i="7"/>
  <c r="AT24" i="7"/>
  <c r="BJ24" i="7"/>
  <c r="BZ24" i="7"/>
  <c r="CP24" i="7"/>
  <c r="DF24" i="7"/>
  <c r="DV24" i="7"/>
  <c r="EL24" i="7"/>
  <c r="FB24" i="7"/>
  <c r="O24" i="7"/>
  <c r="V23" i="7"/>
  <c r="AL23" i="7"/>
  <c r="BB23" i="7"/>
  <c r="BR23" i="7"/>
  <c r="CH23" i="7"/>
  <c r="CX23" i="7"/>
  <c r="DN23" i="7"/>
  <c r="ED23" i="7"/>
  <c r="ET23" i="7"/>
  <c r="FJ23" i="7"/>
  <c r="P24" i="7"/>
  <c r="F24" i="7" s="1"/>
  <c r="AF24" i="7"/>
  <c r="AV24" i="7"/>
  <c r="BL24" i="7"/>
  <c r="CB24" i="7"/>
  <c r="CR24" i="7"/>
  <c r="DH24" i="7"/>
  <c r="DX24" i="7"/>
  <c r="EN24" i="7"/>
  <c r="FD24" i="7"/>
  <c r="W23" i="7"/>
  <c r="AM23" i="7"/>
  <c r="BC23" i="7"/>
  <c r="BS23" i="7"/>
  <c r="CI23" i="7"/>
  <c r="CY23" i="7"/>
  <c r="DO23" i="7"/>
  <c r="EE23" i="7"/>
  <c r="EU23" i="7"/>
  <c r="FK23" i="7"/>
  <c r="Q24" i="7"/>
  <c r="AG24" i="7"/>
  <c r="AW24" i="7"/>
  <c r="BM24" i="7"/>
  <c r="CC24" i="7"/>
  <c r="CS24" i="7"/>
  <c r="DI24" i="7"/>
  <c r="DY24" i="7"/>
  <c r="EO24" i="7"/>
  <c r="FE24" i="7"/>
  <c r="H23" i="7"/>
  <c r="X23" i="7"/>
  <c r="AN23" i="7"/>
  <c r="BD23" i="7"/>
  <c r="BT23" i="7"/>
  <c r="CJ23" i="7"/>
  <c r="CZ23" i="7"/>
  <c r="DP23" i="7"/>
  <c r="EF23" i="7"/>
  <c r="EV23" i="7"/>
  <c r="FL23" i="7"/>
  <c r="R24" i="7"/>
  <c r="AH24" i="7"/>
  <c r="AX24" i="7"/>
  <c r="BN24" i="7"/>
  <c r="CD24" i="7"/>
  <c r="CT24" i="7"/>
  <c r="DJ24" i="7"/>
  <c r="DZ24" i="7"/>
  <c r="EP24" i="7"/>
  <c r="FF24" i="7"/>
  <c r="I23" i="7"/>
  <c r="Y23" i="7"/>
  <c r="AO23" i="7"/>
  <c r="BE23" i="7"/>
  <c r="BU23" i="7"/>
  <c r="CK23" i="7"/>
  <c r="DA23" i="7"/>
  <c r="DQ23" i="7"/>
  <c r="EG23" i="7"/>
  <c r="EW23" i="7"/>
  <c r="FM23" i="7"/>
  <c r="S24" i="7"/>
  <c r="AI24" i="7"/>
  <c r="AY24" i="7"/>
  <c r="BO24" i="7"/>
  <c r="CE24" i="7"/>
  <c r="CU24" i="7"/>
  <c r="DK24" i="7"/>
  <c r="EA24" i="7"/>
  <c r="EQ24" i="7"/>
  <c r="FG24" i="7"/>
  <c r="J23" i="7"/>
  <c r="Z23" i="7"/>
  <c r="AP23" i="7"/>
  <c r="BF23" i="7"/>
  <c r="BV23" i="7"/>
  <c r="CL23" i="7"/>
  <c r="DB23" i="7"/>
  <c r="DR23" i="7"/>
  <c r="EH23" i="7"/>
  <c r="EX23" i="7"/>
  <c r="FN23" i="7"/>
  <c r="K23" i="7"/>
  <c r="AA23" i="7"/>
  <c r="AQ23" i="7"/>
  <c r="BG23" i="7"/>
  <c r="BW23" i="7"/>
  <c r="CM23" i="7"/>
  <c r="DC23" i="7"/>
  <c r="DS23" i="7"/>
  <c r="EI23" i="7"/>
  <c r="EY23" i="7"/>
  <c r="FO23" i="7"/>
  <c r="L23" i="7"/>
  <c r="AB23" i="7"/>
  <c r="AR23" i="7"/>
  <c r="BH23" i="7"/>
  <c r="BX23" i="7"/>
  <c r="CN23" i="7"/>
  <c r="DD23" i="7"/>
  <c r="DT23" i="7"/>
  <c r="EJ23" i="7"/>
  <c r="EZ23" i="7"/>
  <c r="FP23" i="7"/>
  <c r="M23" i="7"/>
  <c r="AC23" i="7"/>
  <c r="AS23" i="7"/>
  <c r="BI23" i="7"/>
  <c r="BY23" i="7"/>
  <c r="CO23" i="7"/>
  <c r="DE23" i="7"/>
  <c r="DU23" i="7"/>
  <c r="EK23" i="7"/>
  <c r="FA23" i="7"/>
  <c r="FQ23" i="7"/>
  <c r="F8" i="7"/>
  <c r="F2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Chloe Shaves</author>
  </authors>
  <commentList>
    <comment ref="K32" authorId="0" shapeId="0" xr:uid="{FA51E35D-A078-4DB7-9759-841AA1DB1E47}">
      <text>
        <r>
          <rPr>
            <sz val="10"/>
            <color indexed="81"/>
            <rFont val="Tahoma"/>
            <family val="2"/>
          </rPr>
          <t xml:space="preserve">Sums all market-based emissions where available; if a market-based emission is not present for a given row, it instead uses the location-based emission for that row in the sum </t>
        </r>
      </text>
    </comment>
    <comment ref="L32" authorId="0" shapeId="0" xr:uid="{992AFF26-8D6C-4A63-B930-326114BC1015}">
      <text>
        <r>
          <rPr>
            <sz val="10"/>
            <color indexed="81"/>
            <rFont val="Tahoma"/>
            <family val="2"/>
          </rPr>
          <t xml:space="preserve">Sums all market-based emissions where available; if a market-based emission is not present for a given row, it instead uses the location-based emission for that row in the sum </t>
        </r>
      </text>
    </comment>
  </commentList>
</comments>
</file>

<file path=xl/sharedStrings.xml><?xml version="1.0" encoding="utf-8"?>
<sst xmlns="http://schemas.openxmlformats.org/spreadsheetml/2006/main" count="3964" uniqueCount="942">
  <si>
    <t>Rebaseline</t>
  </si>
  <si>
    <t>Original</t>
  </si>
  <si>
    <t>Emission Source</t>
  </si>
  <si>
    <t>R2210</t>
  </si>
  <si>
    <t>R2220</t>
  </si>
  <si>
    <t>R4150</t>
  </si>
  <si>
    <t>R4160</t>
  </si>
  <si>
    <t>C5510</t>
  </si>
  <si>
    <t>L7010</t>
  </si>
  <si>
    <t>S1030</t>
  </si>
  <si>
    <t>L7030</t>
  </si>
  <si>
    <t>S1010</t>
  </si>
  <si>
    <t>L7020</t>
  </si>
  <si>
    <t>R2180</t>
  </si>
  <si>
    <t>R2190</t>
  </si>
  <si>
    <t>R5100</t>
  </si>
  <si>
    <t>C1510</t>
  </si>
  <si>
    <t>C1520</t>
  </si>
  <si>
    <t>C1530</t>
  </si>
  <si>
    <t>S1020</t>
  </si>
  <si>
    <t>S8030</t>
  </si>
  <si>
    <t>N/A</t>
  </si>
  <si>
    <t>R1220</t>
  </si>
  <si>
    <t>R2130</t>
  </si>
  <si>
    <t>L4010</t>
  </si>
  <si>
    <t>L4040</t>
  </si>
  <si>
    <t>S5010</t>
  </si>
  <si>
    <t>S5020</t>
  </si>
  <si>
    <t>S5050</t>
  </si>
  <si>
    <t>S5070</t>
  </si>
  <si>
    <t>FY 24 tCO2e Location</t>
  </si>
  <si>
    <t>C2040</t>
  </si>
  <si>
    <t>C2045</t>
  </si>
  <si>
    <t>C2046</t>
  </si>
  <si>
    <t>C2080</t>
  </si>
  <si>
    <t>C2090</t>
  </si>
  <si>
    <t>C3040</t>
  </si>
  <si>
    <t>C4050</t>
  </si>
  <si>
    <t>C5010</t>
  </si>
  <si>
    <t>C6020</t>
  </si>
  <si>
    <t>C7010</t>
  </si>
  <si>
    <t>C8010</t>
  </si>
  <si>
    <t>C8500</t>
  </si>
  <si>
    <t>C9010</t>
  </si>
  <si>
    <t>C9050</t>
  </si>
  <si>
    <t>L2020</t>
  </si>
  <si>
    <t>L2030</t>
  </si>
  <si>
    <t>L2040</t>
  </si>
  <si>
    <t>L2090</t>
  </si>
  <si>
    <t>L2500</t>
  </si>
  <si>
    <t>L2510</t>
  </si>
  <si>
    <t>L3015</t>
  </si>
  <si>
    <t>L3025</t>
  </si>
  <si>
    <t>LCAoem</t>
  </si>
  <si>
    <t>S2025</t>
  </si>
  <si>
    <t>S2050</t>
  </si>
  <si>
    <t>S2060</t>
  </si>
  <si>
    <t>S2210</t>
  </si>
  <si>
    <t>S2310</t>
  </si>
  <si>
    <t>S3010</t>
  </si>
  <si>
    <t>S3030</t>
  </si>
  <si>
    <t>S4010</t>
  </si>
  <si>
    <t>S4020</t>
  </si>
  <si>
    <t>S4040</t>
  </si>
  <si>
    <t>S4050</t>
  </si>
  <si>
    <t>S6020</t>
  </si>
  <si>
    <t>S6040</t>
  </si>
  <si>
    <t>S7030</t>
  </si>
  <si>
    <t>S7060</t>
  </si>
  <si>
    <t>S8010</t>
  </si>
  <si>
    <t>S8020</t>
  </si>
  <si>
    <t>S9010</t>
  </si>
  <si>
    <t>C4510</t>
  </si>
  <si>
    <t>G2010</t>
  </si>
  <si>
    <t>L2050</t>
  </si>
  <si>
    <t>L2700</t>
  </si>
  <si>
    <t>L5010</t>
  </si>
  <si>
    <t>L5020</t>
  </si>
  <si>
    <t>R1100</t>
  </si>
  <si>
    <t>R1120</t>
  </si>
  <si>
    <t>R1140</t>
  </si>
  <si>
    <t>R1170</t>
  </si>
  <si>
    <t>R1180</t>
  </si>
  <si>
    <t>R1190</t>
  </si>
  <si>
    <t>R1210</t>
  </si>
  <si>
    <t>R1230</t>
  </si>
  <si>
    <t>R1240</t>
  </si>
  <si>
    <t>R2100</t>
  </si>
  <si>
    <t>R2110</t>
  </si>
  <si>
    <t>R2120</t>
  </si>
  <si>
    <t>R2150</t>
  </si>
  <si>
    <t>R2160</t>
  </si>
  <si>
    <t>R2170</t>
  </si>
  <si>
    <t>R3100</t>
  </si>
  <si>
    <t>R4100</t>
  </si>
  <si>
    <t>R4110</t>
  </si>
  <si>
    <t>R4120</t>
  </si>
  <si>
    <t>R4130</t>
  </si>
  <si>
    <t>R4140</t>
  </si>
  <si>
    <t>S7020</t>
  </si>
  <si>
    <t>S7090</t>
  </si>
  <si>
    <t>S2020</t>
  </si>
  <si>
    <t>S7040</t>
  </si>
  <si>
    <t>S7050</t>
  </si>
  <si>
    <t>R1130</t>
  </si>
  <si>
    <t>R1150</t>
  </si>
  <si>
    <t>R1160</t>
  </si>
  <si>
    <t>C2530</t>
  </si>
  <si>
    <t>c1010</t>
  </si>
  <si>
    <t>L2060</t>
  </si>
  <si>
    <t>S4030</t>
  </si>
  <si>
    <t>Total</t>
  </si>
  <si>
    <t>Scope</t>
  </si>
  <si>
    <t>Category</t>
  </si>
  <si>
    <t>Upstream/Downstream</t>
  </si>
  <si>
    <t>G3010</t>
  </si>
  <si>
    <t>G5020</t>
  </si>
  <si>
    <t>L2010</t>
  </si>
  <si>
    <t>C5520</t>
  </si>
  <si>
    <t>G5040</t>
  </si>
  <si>
    <t>C2540</t>
  </si>
  <si>
    <t>C2091</t>
  </si>
  <si>
    <t>c4030</t>
  </si>
  <si>
    <t>G3045</t>
  </si>
  <si>
    <t>G5025</t>
  </si>
  <si>
    <t>HoIntSealsE</t>
  </si>
  <si>
    <t>S1040</t>
  </si>
  <si>
    <t>S6070</t>
  </si>
  <si>
    <t>C1040</t>
  </si>
  <si>
    <t>C2041</t>
  </si>
  <si>
    <t>C2042</t>
  </si>
  <si>
    <t>C2043</t>
  </si>
  <si>
    <t>C2551</t>
  </si>
  <si>
    <t>C2552</t>
  </si>
  <si>
    <t>C2553</t>
  </si>
  <si>
    <t>C2554</t>
  </si>
  <si>
    <t>C2555</t>
  </si>
  <si>
    <t>C3510</t>
  </si>
  <si>
    <t>G3015</t>
  </si>
  <si>
    <t>G3020</t>
  </si>
  <si>
    <t>G3041</t>
  </si>
  <si>
    <t>G4010</t>
  </si>
  <si>
    <t>G5005</t>
  </si>
  <si>
    <t>G5010</t>
  </si>
  <si>
    <t>HoControls</t>
  </si>
  <si>
    <t>HoGrp</t>
  </si>
  <si>
    <t>HoIntSeals</t>
  </si>
  <si>
    <t>HoLS</t>
  </si>
  <si>
    <t>R5110</t>
  </si>
  <si>
    <t>R5120</t>
  </si>
  <si>
    <t>R9100</t>
  </si>
  <si>
    <t>C2571</t>
  </si>
  <si>
    <t>C2572</t>
  </si>
  <si>
    <t>C2573</t>
  </si>
  <si>
    <t>C2574</t>
  </si>
  <si>
    <t>C2575</t>
  </si>
  <si>
    <t>C2576</t>
  </si>
  <si>
    <t>C2577</t>
  </si>
  <si>
    <t>C2578</t>
  </si>
  <si>
    <t>G3025</t>
  </si>
  <si>
    <t>G5015</t>
  </si>
  <si>
    <t>HoControlsU</t>
  </si>
  <si>
    <t>HoDHI</t>
  </si>
  <si>
    <t>HoLSU</t>
  </si>
  <si>
    <t>HoNaSeals</t>
  </si>
  <si>
    <t>S2010</t>
  </si>
  <si>
    <t>S2026</t>
  </si>
  <si>
    <t>-</t>
  </si>
  <si>
    <t>Internal</t>
  </si>
  <si>
    <t>All Scope 1</t>
  </si>
  <si>
    <t>All Scope 2 MB</t>
  </si>
  <si>
    <t>All Scope 2 LB</t>
  </si>
  <si>
    <t>Upstream</t>
  </si>
  <si>
    <t>Purchased goods and services</t>
  </si>
  <si>
    <t>Capital goods</t>
  </si>
  <si>
    <t>Fuel and energy related activities</t>
  </si>
  <si>
    <t>Upstream transportation and distribution</t>
  </si>
  <si>
    <t>Waste generated in operations</t>
  </si>
  <si>
    <t>Business travel</t>
  </si>
  <si>
    <t>Employee commuting</t>
  </si>
  <si>
    <t>Upstream leased assets</t>
  </si>
  <si>
    <t>Downstream</t>
  </si>
  <si>
    <t>Downstream transportation and distribution</t>
  </si>
  <si>
    <t>Processing of sold products</t>
  </si>
  <si>
    <t>Use of sold products</t>
  </si>
  <si>
    <t>End of life treatment of sold products</t>
  </si>
  <si>
    <t>Downstream leased assets</t>
  </si>
  <si>
    <t>Franchises</t>
  </si>
  <si>
    <t>Investments</t>
  </si>
  <si>
    <t>FY24 Footprint by Entity Code</t>
  </si>
  <si>
    <t/>
  </si>
  <si>
    <t>Total MB</t>
  </si>
  <si>
    <t>Total LB</t>
  </si>
  <si>
    <t>Diploma Total</t>
  </si>
  <si>
    <t>Included (Y/N)</t>
  </si>
  <si>
    <t>Stationary combustion</t>
  </si>
  <si>
    <t>Company vehicles</t>
  </si>
  <si>
    <t>Fugitive emissions</t>
  </si>
  <si>
    <t>Refrigerants</t>
  </si>
  <si>
    <t>Extrapolated tCo2e</t>
  </si>
  <si>
    <t>Electricity usage</t>
  </si>
  <si>
    <t>Heating</t>
  </si>
  <si>
    <t>Cooling</t>
  </si>
  <si>
    <t>tCO2e Location</t>
  </si>
  <si>
    <t>Y</t>
  </si>
  <si>
    <t>N</t>
  </si>
  <si>
    <t>tCO2e Market</t>
  </si>
  <si>
    <t>FY24 Summary</t>
  </si>
  <si>
    <t>G5035</t>
  </si>
  <si>
    <t>G5045</t>
  </si>
  <si>
    <t>FY23 Footprint by Entity Code</t>
  </si>
  <si>
    <t>Divested</t>
  </si>
  <si>
    <t>Diploma Total (excl. Divestments)</t>
  </si>
  <si>
    <t>FY23 Summary (excl. Divestments)</t>
  </si>
  <si>
    <t>S5040</t>
  </si>
  <si>
    <t>S5080</t>
  </si>
  <si>
    <t>S9020</t>
  </si>
  <si>
    <t>S7010</t>
  </si>
  <si>
    <t>R5130</t>
  </si>
  <si>
    <t>C7020</t>
  </si>
  <si>
    <t>G5075</t>
  </si>
  <si>
    <t>S7070</t>
  </si>
  <si>
    <t>C1020</t>
  </si>
  <si>
    <t>FY22 Summary (excl. Divestments)</t>
  </si>
  <si>
    <t>FY22 Footprint by Entity Code</t>
  </si>
  <si>
    <t>FY25 Summary (H1)</t>
  </si>
  <si>
    <t>FY25 H1 Footprint by Entity Code</t>
  </si>
  <si>
    <t>C1050</t>
  </si>
  <si>
    <t>HoLSC</t>
  </si>
  <si>
    <t>HoLSDCHI</t>
  </si>
  <si>
    <t>Scope 1 Extrapolation</t>
  </si>
  <si>
    <t>Scope 2 Extrapolation</t>
  </si>
  <si>
    <t>H1 FY25 tCO2e Market</t>
  </si>
  <si>
    <t>H1 FY25 tCO2e Location</t>
  </si>
  <si>
    <t>FY22 Original</t>
  </si>
  <si>
    <t>FY24 tCO2e Market</t>
  </si>
  <si>
    <t>FY 23 tCO2e Market</t>
  </si>
  <si>
    <t>FY 23 tCO2e Location</t>
  </si>
  <si>
    <t>FY22 tCO2e Market</t>
  </si>
  <si>
    <t>FY22 tCO2e Location</t>
  </si>
  <si>
    <t>Total Scope 1</t>
  </si>
  <si>
    <t>Total Scope 2</t>
  </si>
  <si>
    <t>FY23 Original Market</t>
  </si>
  <si>
    <t>FY23 Original Location</t>
  </si>
  <si>
    <t>Notes</t>
  </si>
  <si>
    <r>
      <t xml:space="preserve">Scope 3 Emissions
Category 1 (Purchased Goods and Services): The increase in FY23 compared to FY24 is primarily due to the assumptions made regarding the extrapolation of emissions from newly acquired sites. There are some big spenders acquired mid-way through the FY23 year (and thus have partial coverage in the original raw FY23 dataset). To make up for this partial coverage, these are extrapolated backwards based on the FY24 (full coverage) dataset. Similarly, some sites are acquired mid-way through FY24. Because these sites do not have a full FY24 dataset from which to extrapolate backwards, we conduct a 'full year extrapolation' on the available FY24 data to make up for the FY24 data gaps. We then take this 'full year extrapolation' and backtrack it to the prior years. FY24 calculations represent </t>
    </r>
    <r>
      <rPr>
        <b/>
        <sz val="11"/>
        <color theme="1"/>
        <rFont val="Aptos Narrow"/>
        <family val="2"/>
        <scheme val="minor"/>
      </rPr>
      <t xml:space="preserve">actual </t>
    </r>
    <r>
      <rPr>
        <sz val="11"/>
        <color theme="1"/>
        <rFont val="Aptos Narrow"/>
        <family val="2"/>
        <scheme val="minor"/>
      </rPr>
      <t>(in some cases partial) emissions throughout the year, without these 'full year' extrapolations for the entities acquired midway through the year. This, by comparison, slightly inflates the FY23 and FY22 footprints.</t>
    </r>
  </si>
  <si>
    <r>
      <t xml:space="preserve">Overall Trends: The emissions calculations for both Scope 1 and 2 are influenced by the timing of acquisitions and the availability of complete data. While Scope 2 data seems to be available in proportion to the months of the year for which a site operates under diploma ownership (example: 6 months of ownership entails a proportionate 6 months of Scope 2 data), there seems to be a trend whereby Scope 1 data is disproportionately lacking for the year in which an entity is acquired (6 months of diploma ownership will not necessarily entail 6 months of Scope 1 data). This ensures that a given site reports disproportionately larger Scope 1 emissions the year </t>
    </r>
    <r>
      <rPr>
        <b/>
        <sz val="11"/>
        <color theme="1"/>
        <rFont val="Aptos Narrow"/>
        <family val="2"/>
        <scheme val="minor"/>
      </rPr>
      <t>after</t>
    </r>
    <r>
      <rPr>
        <sz val="11"/>
        <color theme="1"/>
        <rFont val="Aptos Narrow"/>
        <family val="2"/>
        <scheme val="minor"/>
      </rPr>
      <t xml:space="preserve"> it is acquired (when Scope 1 data availability is actually representative of the year).
This may explain why FY25 H1 Scope 1 emissions are slighly larger than may be expected (sites acquired midway through FY24 will now, in FY25, be reporting full Scope 1 data)</t>
    </r>
  </si>
  <si>
    <t>Extrapolated sites</t>
  </si>
  <si>
    <t>Divested sites</t>
  </si>
  <si>
    <t>Currency</t>
  </si>
  <si>
    <t>Code</t>
  </si>
  <si>
    <t>HFM Entity Structure</t>
  </si>
  <si>
    <t>CAD</t>
  </si>
  <si>
    <t>Somagen</t>
  </si>
  <si>
    <t>AMT</t>
  </si>
  <si>
    <t>L2031</t>
  </si>
  <si>
    <t>AMT - ES Division</t>
  </si>
  <si>
    <t>L2032</t>
  </si>
  <si>
    <t>AMT - MI Division</t>
  </si>
  <si>
    <t>Vantage</t>
  </si>
  <si>
    <t>AMTV</t>
  </si>
  <si>
    <t>Acernis</t>
  </si>
  <si>
    <t>LSNAxHO</t>
  </si>
  <si>
    <t>Life Sciences North America (exc HO)</t>
  </si>
  <si>
    <t>HoLSNA</t>
  </si>
  <si>
    <t>LS North America HO</t>
  </si>
  <si>
    <t>DCHI North America</t>
  </si>
  <si>
    <t>LSNA</t>
  </si>
  <si>
    <t>Life Sciences North America</t>
  </si>
  <si>
    <t>AUD</t>
  </si>
  <si>
    <t>BGS AUS</t>
  </si>
  <si>
    <t>L5030</t>
  </si>
  <si>
    <t>Sphere</t>
  </si>
  <si>
    <t>BGSAUS</t>
  </si>
  <si>
    <t>L2070</t>
  </si>
  <si>
    <t>DSL AUS</t>
  </si>
  <si>
    <t>L3010</t>
  </si>
  <si>
    <t>Abacus ALS AUS</t>
  </si>
  <si>
    <t>Abacus-Dx Pty Ltd</t>
  </si>
  <si>
    <t>AUS</t>
  </si>
  <si>
    <t>Australia</t>
  </si>
  <si>
    <t>NZD</t>
  </si>
  <si>
    <t>BGS NZ</t>
  </si>
  <si>
    <t>L2080</t>
  </si>
  <si>
    <t>DSL NZ</t>
  </si>
  <si>
    <t>L3020</t>
  </si>
  <si>
    <t>Abacus ALS NZ</t>
  </si>
  <si>
    <t>Abacus-Dx Limited</t>
  </si>
  <si>
    <t>NZL</t>
  </si>
  <si>
    <t>New Zealand</t>
  </si>
  <si>
    <t>LSAU</t>
  </si>
  <si>
    <t>Life Sciences Australasia</t>
  </si>
  <si>
    <t>EUR</t>
  </si>
  <si>
    <t>TPD</t>
  </si>
  <si>
    <t>Accuscience</t>
  </si>
  <si>
    <t>GBP</t>
  </si>
  <si>
    <t>Medilink</t>
  </si>
  <si>
    <t>MSI</t>
  </si>
  <si>
    <t>M&amp;S Ireland</t>
  </si>
  <si>
    <t>LSI</t>
  </si>
  <si>
    <t>Life Sciences Ireland</t>
  </si>
  <si>
    <t>DKK</t>
  </si>
  <si>
    <t>S&amp;W - Denmark</t>
  </si>
  <si>
    <t>SEK</t>
  </si>
  <si>
    <t>S&amp;W - Sweden</t>
  </si>
  <si>
    <t>SWG</t>
  </si>
  <si>
    <t>S&amp;W group</t>
  </si>
  <si>
    <t>GM Medical Denmark</t>
  </si>
  <si>
    <t>GM Medical Sweden</t>
  </si>
  <si>
    <t>NOK</t>
  </si>
  <si>
    <t>GM Medical Norway</t>
  </si>
  <si>
    <t>GMM</t>
  </si>
  <si>
    <t>GM Medical</t>
  </si>
  <si>
    <t>Kungshusen</t>
  </si>
  <si>
    <t>LSN</t>
  </si>
  <si>
    <t>Life Sciences Nordics</t>
  </si>
  <si>
    <t>HoLSE</t>
  </si>
  <si>
    <t>LS Europe HO</t>
  </si>
  <si>
    <t>LSE</t>
  </si>
  <si>
    <t>Life Sciences Europe</t>
  </si>
  <si>
    <t>LifeSciencesxHo</t>
  </si>
  <si>
    <t>Life Sciences ( excl HO )</t>
  </si>
  <si>
    <t>DCHI</t>
  </si>
  <si>
    <t>Life Science HO (GBP)</t>
  </si>
  <si>
    <t>USD</t>
  </si>
  <si>
    <t>Life Science HO (USD)</t>
  </si>
  <si>
    <t>Life Science HO (CAD)</t>
  </si>
  <si>
    <t>LifeScienceHo</t>
  </si>
  <si>
    <t>Life Sciences HO</t>
  </si>
  <si>
    <t>LifeSciences</t>
  </si>
  <si>
    <t>Life Sciences (excl Disposals)</t>
  </si>
  <si>
    <t>L6010</t>
  </si>
  <si>
    <t>CBISS</t>
  </si>
  <si>
    <t>L6020</t>
  </si>
  <si>
    <t>EIM</t>
  </si>
  <si>
    <t>C6010</t>
  </si>
  <si>
    <t>Hitek</t>
  </si>
  <si>
    <t>CBISSgrp</t>
  </si>
  <si>
    <t>a1-cbiss</t>
  </si>
  <si>
    <t>a1-Germany</t>
  </si>
  <si>
    <t>CHF</t>
  </si>
  <si>
    <t>L4025</t>
  </si>
  <si>
    <t>a1-Switzerland</t>
  </si>
  <si>
    <t>L4030</t>
  </si>
  <si>
    <t>a1-Luton</t>
  </si>
  <si>
    <t>a1-envirosciences Ltd</t>
  </si>
  <si>
    <t>a1enviro</t>
  </si>
  <si>
    <t>a1-envirosciences</t>
  </si>
  <si>
    <t>L4050</t>
  </si>
  <si>
    <t>a1 GCA</t>
  </si>
  <si>
    <t>a1egrp</t>
  </si>
  <si>
    <t>LSDisp</t>
  </si>
  <si>
    <t>Life Sciences Disposals</t>
  </si>
  <si>
    <t>RelLS</t>
  </si>
  <si>
    <t>Budget Relief LS</t>
  </si>
  <si>
    <t>GCALS</t>
  </si>
  <si>
    <t>GCA Life Sciences</t>
  </si>
  <si>
    <t>LifeScience</t>
  </si>
  <si>
    <t>Life Sciences</t>
  </si>
  <si>
    <t>VSP</t>
  </si>
  <si>
    <t>Power Dynamics</t>
  </si>
  <si>
    <t>VSPD</t>
  </si>
  <si>
    <t>GP&amp;S</t>
  </si>
  <si>
    <t>VSP group</t>
  </si>
  <si>
    <t>Hercules US - Clearwater</t>
  </si>
  <si>
    <t>Hercules US - Louisville</t>
  </si>
  <si>
    <t>Hercules US - CrossSell</t>
  </si>
  <si>
    <t>HERUSA</t>
  </si>
  <si>
    <t>Hercules US</t>
  </si>
  <si>
    <t>S2030</t>
  </si>
  <si>
    <t>Bulldog - Tampa</t>
  </si>
  <si>
    <t>S2040</t>
  </si>
  <si>
    <t>HBSUSA - Balance sheet</t>
  </si>
  <si>
    <t>HBSUSA</t>
  </si>
  <si>
    <t>Hercules Canada - Barrie</t>
  </si>
  <si>
    <t>Hercules Canada - Montreal</t>
  </si>
  <si>
    <t>S2070</t>
  </si>
  <si>
    <t>Hercules Canada - Vancouver</t>
  </si>
  <si>
    <t>S2080</t>
  </si>
  <si>
    <t>Hercules Canada - Edmonton</t>
  </si>
  <si>
    <t>S2090</t>
  </si>
  <si>
    <t>Hercules Canada - Balance Sheet</t>
  </si>
  <si>
    <t>HBSCAN</t>
  </si>
  <si>
    <t>Hercules Canada</t>
  </si>
  <si>
    <t>HBS</t>
  </si>
  <si>
    <t>Hercules</t>
  </si>
  <si>
    <t>HKX</t>
  </si>
  <si>
    <t>AftMark</t>
  </si>
  <si>
    <t>Aftermarket</t>
  </si>
  <si>
    <t>Hercules OEM group</t>
  </si>
  <si>
    <t>S2410</t>
  </si>
  <si>
    <t>All Seals</t>
  </si>
  <si>
    <t>S2415</t>
  </si>
  <si>
    <t>Problem Solving Products</t>
  </si>
  <si>
    <t>AllSeals</t>
  </si>
  <si>
    <t>California</t>
  </si>
  <si>
    <t>S2510</t>
  </si>
  <si>
    <t>HPS</t>
  </si>
  <si>
    <t>S2520</t>
  </si>
  <si>
    <t>RT Illinois</t>
  </si>
  <si>
    <t>S2530</t>
  </si>
  <si>
    <t>RT Minnesota</t>
  </si>
  <si>
    <t>RTD</t>
  </si>
  <si>
    <t>RTS</t>
  </si>
  <si>
    <t>Minnesota</t>
  </si>
  <si>
    <t>S2540</t>
  </si>
  <si>
    <t>North Carolina</t>
  </si>
  <si>
    <t>OEM</t>
  </si>
  <si>
    <t>NA Seals Head Office</t>
  </si>
  <si>
    <t>HFPG Head Office</t>
  </si>
  <si>
    <t>LCAhfpg</t>
  </si>
  <si>
    <t>LCA - HFPG</t>
  </si>
  <si>
    <t>NAsealsHO</t>
  </si>
  <si>
    <t>RelNAS</t>
  </si>
  <si>
    <t>Budget Relief NAS</t>
  </si>
  <si>
    <t>GCANAS</t>
  </si>
  <si>
    <t>GCA NA Seals</t>
  </si>
  <si>
    <t>NAseals</t>
  </si>
  <si>
    <t>North American Seals</t>
  </si>
  <si>
    <t>M Seals - Denmark</t>
  </si>
  <si>
    <t>M Seals - Sweden</t>
  </si>
  <si>
    <t>RMB</t>
  </si>
  <si>
    <t>M Seals - China</t>
  </si>
  <si>
    <t>MsealsE</t>
  </si>
  <si>
    <t>M Seals Europe</t>
  </si>
  <si>
    <t>NCL Technical Inspection</t>
  </si>
  <si>
    <t>LEICS Technical Distribution</t>
  </si>
  <si>
    <t>MsealsUK</t>
  </si>
  <si>
    <t>M Seals - NCL &amp; LEI</t>
  </si>
  <si>
    <t>DMR Seals</t>
  </si>
  <si>
    <t>DMR Gaskets</t>
  </si>
  <si>
    <t>S9030</t>
  </si>
  <si>
    <t>DMR Holdings</t>
  </si>
  <si>
    <t>DMR</t>
  </si>
  <si>
    <t>SHEF Engineered Seals Division</t>
  </si>
  <si>
    <t>S4060</t>
  </si>
  <si>
    <t>M Seals UK Limited</t>
  </si>
  <si>
    <t>MsealsU</t>
  </si>
  <si>
    <t>M Seals UK</t>
  </si>
  <si>
    <t>MsealsG</t>
  </si>
  <si>
    <t>M Seals group</t>
  </si>
  <si>
    <t>Pearson Hydraulics</t>
  </si>
  <si>
    <t>Exeter Hose &amp; Hydraulics</t>
  </si>
  <si>
    <t>Somerset Hose &amp; Hydraulics</t>
  </si>
  <si>
    <t>Pressurelines Hose &amp; Hydraulics</t>
  </si>
  <si>
    <t>PHLH</t>
  </si>
  <si>
    <t>Pearson Hive up</t>
  </si>
  <si>
    <t>PHL</t>
  </si>
  <si>
    <t>Pearson Hose &amp; Hydraulics</t>
  </si>
  <si>
    <t>North Devon Hose &amp; Hydraulics</t>
  </si>
  <si>
    <t>West Cornwall Hose &amp; Hydraulics</t>
  </si>
  <si>
    <t>Hyphose</t>
  </si>
  <si>
    <t>Grimsby Hydraulic Services</t>
  </si>
  <si>
    <t>Hydraproducts</t>
  </si>
  <si>
    <t>Hydraulic &amp; Offshore Supplies</t>
  </si>
  <si>
    <t>Lancashire Hose &amp; Fittings</t>
  </si>
  <si>
    <t>Fluid Power Services Limited</t>
  </si>
  <si>
    <t>Hedley Hydraulic Limited</t>
  </si>
  <si>
    <t>RGH</t>
  </si>
  <si>
    <t>R&amp;G Hydraulics</t>
  </si>
  <si>
    <t>Millenium Coupling Company</t>
  </si>
  <si>
    <t>Century Hose &amp; Couplings</t>
  </si>
  <si>
    <t>CHC</t>
  </si>
  <si>
    <t>Integraflex</t>
  </si>
  <si>
    <t>Merseyflex</t>
  </si>
  <si>
    <t>Millenium Engineering (2012)</t>
  </si>
  <si>
    <t>Industrial Hose &amp; Pipe Fittings</t>
  </si>
  <si>
    <t>Valves Online</t>
  </si>
  <si>
    <t>Lantech Solutions</t>
  </si>
  <si>
    <t>Rubberlast</t>
  </si>
  <si>
    <t>Abbey Hose Co Limited</t>
  </si>
  <si>
    <t>PTFE Flex Limited</t>
  </si>
  <si>
    <t>One Stop Sealing</t>
  </si>
  <si>
    <t>RGI</t>
  </si>
  <si>
    <t>R&amp;G Industrial</t>
  </si>
  <si>
    <t>AMG Sealing Limited</t>
  </si>
  <si>
    <t>Plastic &amp; Rubber Group Limited</t>
  </si>
  <si>
    <t>R4170</t>
  </si>
  <si>
    <t>Plastic &amp; Rubber Group Holdings Limited</t>
  </si>
  <si>
    <t>PARG</t>
  </si>
  <si>
    <t>Plastic &amp; Rubber Group</t>
  </si>
  <si>
    <t>Henry Gallacher</t>
  </si>
  <si>
    <t>Rubberfast</t>
  </si>
  <si>
    <t>Fast Gaskets and Parts Limited</t>
  </si>
  <si>
    <t>PARGaskets</t>
  </si>
  <si>
    <t>Plastic &amp; Rubber Group inc Gaskets</t>
  </si>
  <si>
    <t>RGG</t>
  </si>
  <si>
    <t>R&amp;G Gaskets</t>
  </si>
  <si>
    <t>FPE Seals Ltd</t>
  </si>
  <si>
    <t>S3020</t>
  </si>
  <si>
    <t>AB Seals</t>
  </si>
  <si>
    <t>FPEUK</t>
  </si>
  <si>
    <t>Swan Seals</t>
  </si>
  <si>
    <t>FPESUK</t>
  </si>
  <si>
    <t>FPE Seals UK</t>
  </si>
  <si>
    <t>FPE Seals BV</t>
  </si>
  <si>
    <t>FPEcy</t>
  </si>
  <si>
    <t>R&amp;G Seals (FPE)</t>
  </si>
  <si>
    <t>RGGF</t>
  </si>
  <si>
    <t>R&amp;G Seals and Gaskets</t>
  </si>
  <si>
    <t>RGOpBusF</t>
  </si>
  <si>
    <t>R&amp;G Operating Businesses</t>
  </si>
  <si>
    <t>R&amp;G Fluid Power Group Limited</t>
  </si>
  <si>
    <t>R&amp;G Investments</t>
  </si>
  <si>
    <t>Hose &amp; Hydraulics Group</t>
  </si>
  <si>
    <t>R5140</t>
  </si>
  <si>
    <t>R&amp;G Fluid Power Group Holdings</t>
  </si>
  <si>
    <t>R&amp;G GCA</t>
  </si>
  <si>
    <t>RGHO</t>
  </si>
  <si>
    <t>R&amp;G Head Office</t>
  </si>
  <si>
    <t>RGF</t>
  </si>
  <si>
    <t>R&amp;G Fluid Power Group</t>
  </si>
  <si>
    <t>FITT Resources</t>
  </si>
  <si>
    <t>FITT Trading</t>
  </si>
  <si>
    <t>S7080</t>
  </si>
  <si>
    <t>FITT Management</t>
  </si>
  <si>
    <t>FITT</t>
  </si>
  <si>
    <t>TotalSeal (East)</t>
  </si>
  <si>
    <t>ACT</t>
  </si>
  <si>
    <t>FITTAUS</t>
  </si>
  <si>
    <t>FITT Australia</t>
  </si>
  <si>
    <t>XPF</t>
  </si>
  <si>
    <t>TotalSeal (NC)</t>
  </si>
  <si>
    <t>FITTgrp</t>
  </si>
  <si>
    <t>FITT group</t>
  </si>
  <si>
    <t>PumpNSeal PTY</t>
  </si>
  <si>
    <t>TotalSeal (West)</t>
  </si>
  <si>
    <t>TotalSealW</t>
  </si>
  <si>
    <t>PumpNSeal group</t>
  </si>
  <si>
    <t>DAS HO ( AUS )</t>
  </si>
  <si>
    <t>TSG</t>
  </si>
  <si>
    <t>Diploma Australia Seals</t>
  </si>
  <si>
    <t>Dicsa Spain</t>
  </si>
  <si>
    <t>Dicsa America LLC</t>
  </si>
  <si>
    <t>Dicsa Italia</t>
  </si>
  <si>
    <t>Diploma Iberia Holdings</t>
  </si>
  <si>
    <t>Dicsa</t>
  </si>
  <si>
    <t>S1050</t>
  </si>
  <si>
    <t>Dicsa GCA</t>
  </si>
  <si>
    <t>DicsaGrp</t>
  </si>
  <si>
    <t>Dicsa Group</t>
  </si>
  <si>
    <t>Intseal</t>
  </si>
  <si>
    <t>International Seals (excl HO)</t>
  </si>
  <si>
    <t>International Seals HO (GBP)</t>
  </si>
  <si>
    <t>International Seals HO (EUR)</t>
  </si>
  <si>
    <t>IntsealHo</t>
  </si>
  <si>
    <t>International Seals HO</t>
  </si>
  <si>
    <t>IntSealsg</t>
  </si>
  <si>
    <t>International Seals (excl Disposals)</t>
  </si>
  <si>
    <t>Kentek - Finland</t>
  </si>
  <si>
    <t>RUB</t>
  </si>
  <si>
    <t>Kentek - St Petersburg</t>
  </si>
  <si>
    <t>S5025</t>
  </si>
  <si>
    <t>Kentek - Trade</t>
  </si>
  <si>
    <t>S5030</t>
  </si>
  <si>
    <t>Kentek - Moscow</t>
  </si>
  <si>
    <t>KENR</t>
  </si>
  <si>
    <t>Kentek - Russia</t>
  </si>
  <si>
    <t>Kentek - Estonia</t>
  </si>
  <si>
    <t>Kentek - Latvia</t>
  </si>
  <si>
    <t>LTL</t>
  </si>
  <si>
    <t>S5060</t>
  </si>
  <si>
    <t>Kentek - Lithuania LTL</t>
  </si>
  <si>
    <t>Kentek - Lithuania EUR</t>
  </si>
  <si>
    <t>KENL</t>
  </si>
  <si>
    <t>Kentek - Lithuania</t>
  </si>
  <si>
    <t>KENB</t>
  </si>
  <si>
    <t>Kentek - Baltics</t>
  </si>
  <si>
    <t>KEN</t>
  </si>
  <si>
    <t>Kentek</t>
  </si>
  <si>
    <t>Kentek GCA</t>
  </si>
  <si>
    <t>KENG</t>
  </si>
  <si>
    <t>Kentek group</t>
  </si>
  <si>
    <t>Kubo GCA</t>
  </si>
  <si>
    <t>Kubo Tech</t>
  </si>
  <si>
    <t>S6030</t>
  </si>
  <si>
    <t>Johannsen</t>
  </si>
  <si>
    <t>S6010</t>
  </si>
  <si>
    <t>Rutin</t>
  </si>
  <si>
    <t>S6060</t>
  </si>
  <si>
    <t>Kubo Immo</t>
  </si>
  <si>
    <t>KUBT</t>
  </si>
  <si>
    <t>Kubo Tech group</t>
  </si>
  <si>
    <t>S6050</t>
  </si>
  <si>
    <t>Kubo Form</t>
  </si>
  <si>
    <t>KUBS</t>
  </si>
  <si>
    <t>Kubo Switzerland</t>
  </si>
  <si>
    <t>Kubo Tech Austria</t>
  </si>
  <si>
    <t>KUB</t>
  </si>
  <si>
    <t>Kubo</t>
  </si>
  <si>
    <t>KUBO</t>
  </si>
  <si>
    <t>Kubo group</t>
  </si>
  <si>
    <t>S6080</t>
  </si>
  <si>
    <t>Kubo GCA 2</t>
  </si>
  <si>
    <t>KUBOgrp</t>
  </si>
  <si>
    <t>Kubo Group inc GCA 2</t>
  </si>
  <si>
    <t>Pennine Pneumatic Services</t>
  </si>
  <si>
    <t>RGP</t>
  </si>
  <si>
    <t>R&amp;G Pneumatics</t>
  </si>
  <si>
    <t>R3110</t>
  </si>
  <si>
    <t>Pennine Pneumatic Services GCA</t>
  </si>
  <si>
    <t>RGPG</t>
  </si>
  <si>
    <t>R&amp;G Pneumatics inc GCA</t>
  </si>
  <si>
    <t>Pneumatic Services Limited</t>
  </si>
  <si>
    <t>IntsealsDisp</t>
  </si>
  <si>
    <t>International Seals Disposals</t>
  </si>
  <si>
    <t>RelIntS</t>
  </si>
  <si>
    <t>Budget Relief IntS</t>
  </si>
  <si>
    <t>OCSint</t>
  </si>
  <si>
    <t>Overlay IntS</t>
  </si>
  <si>
    <t>GCAIntS</t>
  </si>
  <si>
    <t>GCA International Seals</t>
  </si>
  <si>
    <t>INTsealsgrp</t>
  </si>
  <si>
    <t>International Seals</t>
  </si>
  <si>
    <t>Seals</t>
  </si>
  <si>
    <t>Windy City Wire</t>
  </si>
  <si>
    <t>GCANAC</t>
  </si>
  <si>
    <t>GCA NA Controls</t>
  </si>
  <si>
    <t>NAcontrols</t>
  </si>
  <si>
    <t>North American Controls</t>
  </si>
  <si>
    <t>IS-Rayfast Ltd</t>
  </si>
  <si>
    <t>C2010</t>
  </si>
  <si>
    <t>ISR Core</t>
  </si>
  <si>
    <t>C2020</t>
  </si>
  <si>
    <t>ISR International</t>
  </si>
  <si>
    <t>C2030</t>
  </si>
  <si>
    <t>ISR Motorsport</t>
  </si>
  <si>
    <t>C2070</t>
  </si>
  <si>
    <t>Intercompany</t>
  </si>
  <si>
    <t>C2050</t>
  </si>
  <si>
    <t>IS-Cabletec</t>
  </si>
  <si>
    <t>C2060</t>
  </si>
  <si>
    <t>Support</t>
  </si>
  <si>
    <t>ISR</t>
  </si>
  <si>
    <t>ISR (no longer used)</t>
  </si>
  <si>
    <t>ISRLtd</t>
  </si>
  <si>
    <t>Krempfast</t>
  </si>
  <si>
    <t>C3520</t>
  </si>
  <si>
    <t>Rayfast Czech</t>
  </si>
  <si>
    <t>ISGUKgrp</t>
  </si>
  <si>
    <t>ISG-UK</t>
  </si>
  <si>
    <t>C4030</t>
  </si>
  <si>
    <t>IS-Sommer</t>
  </si>
  <si>
    <t>C4010</t>
  </si>
  <si>
    <t>IS-Sommer GCA</t>
  </si>
  <si>
    <t>C4020</t>
  </si>
  <si>
    <t>PLC cost allocations</t>
  </si>
  <si>
    <t>SOM</t>
  </si>
  <si>
    <t>C4060</t>
  </si>
  <si>
    <t>Gremtek GmbH</t>
  </si>
  <si>
    <t>C4070</t>
  </si>
  <si>
    <t>Gremtek UK</t>
  </si>
  <si>
    <t>C4080</t>
  </si>
  <si>
    <t>DEEM</t>
  </si>
  <si>
    <t>GRM</t>
  </si>
  <si>
    <t>Gremtek (exc France)</t>
  </si>
  <si>
    <t>C3010</t>
  </si>
  <si>
    <t>IS-Motorsport (no longer used)</t>
  </si>
  <si>
    <t>C3020</t>
  </si>
  <si>
    <t>IS-Connect (no longer used)</t>
  </si>
  <si>
    <t>C3030</t>
  </si>
  <si>
    <t>Intercompany (no longer used)</t>
  </si>
  <si>
    <t>Rayfast USA</t>
  </si>
  <si>
    <t>ISM</t>
  </si>
  <si>
    <t>LJR Electronics</t>
  </si>
  <si>
    <t>C4520</t>
  </si>
  <si>
    <t>LJR GCA</t>
  </si>
  <si>
    <t>LJR</t>
  </si>
  <si>
    <t>C3050</t>
  </si>
  <si>
    <t>ISG USA HO</t>
  </si>
  <si>
    <t>ISGUSgrp</t>
  </si>
  <si>
    <t>ISG-US</t>
  </si>
  <si>
    <t>ISGxF</t>
  </si>
  <si>
    <t>ISG (excl Filcon)</t>
  </si>
  <si>
    <t>Filcon GmbH</t>
  </si>
  <si>
    <t>Ascome</t>
  </si>
  <si>
    <t>Filcon</t>
  </si>
  <si>
    <t>ISG</t>
  </si>
  <si>
    <t>FS Cables</t>
  </si>
  <si>
    <t>C9020</t>
  </si>
  <si>
    <t>FSC Global</t>
  </si>
  <si>
    <t>FSC</t>
  </si>
  <si>
    <t>Cablecraft</t>
  </si>
  <si>
    <t>C8015</t>
  </si>
  <si>
    <t>BVP</t>
  </si>
  <si>
    <t>C8020</t>
  </si>
  <si>
    <t>CBLx</t>
  </si>
  <si>
    <t>C8030</t>
  </si>
  <si>
    <t>Shoal head office</t>
  </si>
  <si>
    <t>CBL</t>
  </si>
  <si>
    <t>uCCA</t>
  </si>
  <si>
    <t>Shoal group (excl SWA)</t>
  </si>
  <si>
    <t>SWA</t>
  </si>
  <si>
    <t>CCA</t>
  </si>
  <si>
    <t>Shoal group</t>
  </si>
  <si>
    <t>Interconnect</t>
  </si>
  <si>
    <t>CSF Ltd - Sales Aerospace</t>
  </si>
  <si>
    <t>CSF Ltd - Sales Motorsport</t>
  </si>
  <si>
    <t>CSF Ltd - Purchasing</t>
  </si>
  <si>
    <t>CSF Ltd - Leics site</t>
  </si>
  <si>
    <t>CSF Ltd - Totnes</t>
  </si>
  <si>
    <t>CSF Ltd - Engineering</t>
  </si>
  <si>
    <t>CSF Ltd - RWB Operations</t>
  </si>
  <si>
    <t>CSF Ltd - Quality</t>
  </si>
  <si>
    <t>CSF Ltd - Support</t>
  </si>
  <si>
    <t>CLA</t>
  </si>
  <si>
    <t>CSF Ltd</t>
  </si>
  <si>
    <t>C2520</t>
  </si>
  <si>
    <t>SFC</t>
  </si>
  <si>
    <t>C2510</t>
  </si>
  <si>
    <t>Amfast</t>
  </si>
  <si>
    <t>THB</t>
  </si>
  <si>
    <t>Asia</t>
  </si>
  <si>
    <t>Ascome (Clarendon)</t>
  </si>
  <si>
    <t>C2550</t>
  </si>
  <si>
    <t>CSF Italy</t>
  </si>
  <si>
    <t>FAST</t>
  </si>
  <si>
    <t>CSF UK</t>
  </si>
  <si>
    <t>CSF GmbH - Manufacturing</t>
  </si>
  <si>
    <t>CSF GmbH - Distribution</t>
  </si>
  <si>
    <t>CSFG</t>
  </si>
  <si>
    <t>CSF GmbH</t>
  </si>
  <si>
    <t>FASTint</t>
  </si>
  <si>
    <t>CSF International</t>
  </si>
  <si>
    <t>C2561</t>
  </si>
  <si>
    <t>HBC - Sales</t>
  </si>
  <si>
    <t>C2562</t>
  </si>
  <si>
    <t>HBC - Purchasing</t>
  </si>
  <si>
    <t>C2563</t>
  </si>
  <si>
    <t>HBC - Operations</t>
  </si>
  <si>
    <t>C2564</t>
  </si>
  <si>
    <t>HBC - Quality</t>
  </si>
  <si>
    <t>HBC - Support</t>
  </si>
  <si>
    <t>CSFHBC</t>
  </si>
  <si>
    <t>CSF Inc - HBC</t>
  </si>
  <si>
    <t>CSF Inc - Sales</t>
  </si>
  <si>
    <t>CSF Inc - Purchasing</t>
  </si>
  <si>
    <t>CSF Inc - Operations</t>
  </si>
  <si>
    <t>CSF Inc - Quality</t>
  </si>
  <si>
    <t>CSF Inc - Placard</t>
  </si>
  <si>
    <t>CSF Inc - Support</t>
  </si>
  <si>
    <t>CSF Inc - Mexico</t>
  </si>
  <si>
    <t>CSF Inc - Gainesville</t>
  </si>
  <si>
    <t>CSF Inc - North Carolina</t>
  </si>
  <si>
    <t>CSFLBC</t>
  </si>
  <si>
    <t>CSF Inc - LBC</t>
  </si>
  <si>
    <t>FASTus</t>
  </si>
  <si>
    <t>CSF US</t>
  </si>
  <si>
    <t>SFAST</t>
  </si>
  <si>
    <t>Specialty Fasteners</t>
  </si>
  <si>
    <t>C1010</t>
  </si>
  <si>
    <t>Techsil Ltd</t>
  </si>
  <si>
    <t>Technisil GmbH</t>
  </si>
  <si>
    <t>Techsil Holdings Ltd</t>
  </si>
  <si>
    <t>C1030</t>
  </si>
  <si>
    <t>Techsil Group Holdings Ltd</t>
  </si>
  <si>
    <t>Viking Industrial Products Limited</t>
  </si>
  <si>
    <t>C1060</t>
  </si>
  <si>
    <t>Viking Conversions Limited</t>
  </si>
  <si>
    <t>Techsil</t>
  </si>
  <si>
    <t>Master Robotics</t>
  </si>
  <si>
    <t>Fanucworld</t>
  </si>
  <si>
    <t>TIEMRF</t>
  </si>
  <si>
    <t>TIE Electronics LLC</t>
  </si>
  <si>
    <t>Parker Group</t>
  </si>
  <si>
    <t>TIE</t>
  </si>
  <si>
    <t>Peerless Aerospace US</t>
  </si>
  <si>
    <t>Peerless Aerospace China</t>
  </si>
  <si>
    <t>PAG</t>
  </si>
  <si>
    <t>Peerless Aerospace Group</t>
  </si>
  <si>
    <t>Controls HO (GBP)</t>
  </si>
  <si>
    <t>Controls HO (USD)</t>
  </si>
  <si>
    <t>ControlsHo</t>
  </si>
  <si>
    <t>Controls HO</t>
  </si>
  <si>
    <t>INTcontrolsxDisp</t>
  </si>
  <si>
    <t>International Controls (excl Disposals)</t>
  </si>
  <si>
    <t>Hawco</t>
  </si>
  <si>
    <t>C5020</t>
  </si>
  <si>
    <t>Refrigeration</t>
  </si>
  <si>
    <t>C5030</t>
  </si>
  <si>
    <t>Central</t>
  </si>
  <si>
    <t>C5040</t>
  </si>
  <si>
    <t>Logistics</t>
  </si>
  <si>
    <t>CentLog</t>
  </si>
  <si>
    <t>Central &amp; Logistics</t>
  </si>
  <si>
    <t>Abbeychart</t>
  </si>
  <si>
    <t>HawcoGrp</t>
  </si>
  <si>
    <t>Hawco group</t>
  </si>
  <si>
    <t>C4040</t>
  </si>
  <si>
    <t>Actios SAS</t>
  </si>
  <si>
    <t>Gremtek SAS</t>
  </si>
  <si>
    <t>GRMF</t>
  </si>
  <si>
    <t>Gremtek France</t>
  </si>
  <si>
    <t>C4090</t>
  </si>
  <si>
    <t>Gremtek France GCA</t>
  </si>
  <si>
    <t>GRMFG</t>
  </si>
  <si>
    <t>Gremtek France inc GCA</t>
  </si>
  <si>
    <t>IntControlsDisp</t>
  </si>
  <si>
    <t>International Controls Disposals</t>
  </si>
  <si>
    <t>RelIntC</t>
  </si>
  <si>
    <t>Budget Relief IntC</t>
  </si>
  <si>
    <t>OCCint</t>
  </si>
  <si>
    <t>Overlay IntC</t>
  </si>
  <si>
    <t>GCAIntC</t>
  </si>
  <si>
    <t>GCA International Controls</t>
  </si>
  <si>
    <t>INTcontrols</t>
  </si>
  <si>
    <t>International Controls</t>
  </si>
  <si>
    <t>Controls</t>
  </si>
  <si>
    <t>OpBus</t>
  </si>
  <si>
    <t>Operating Businesses</t>
  </si>
  <si>
    <t>Diploma Holdings PLC</t>
  </si>
  <si>
    <t>G2015</t>
  </si>
  <si>
    <t>Diploma Italy (Branch)</t>
  </si>
  <si>
    <t>Head Office Allocation</t>
  </si>
  <si>
    <t>HoGrpE</t>
  </si>
  <si>
    <t>Head Office Allocation EUR</t>
  </si>
  <si>
    <t>HeadOff</t>
  </si>
  <si>
    <t>Head Office</t>
  </si>
  <si>
    <t>Diploma Australia Healthcare Pty Ltd</t>
  </si>
  <si>
    <t>G3080</t>
  </si>
  <si>
    <t>Diploma Australia Seals Pty Ltd</t>
  </si>
  <si>
    <t>Diploma Germany Holding GmbH</t>
  </si>
  <si>
    <t>G3085</t>
  </si>
  <si>
    <t>Diploma Iberia Holdings (no longer used)</t>
  </si>
  <si>
    <t>Diploma Holdings</t>
  </si>
  <si>
    <t>Diploma Holdings Allocation</t>
  </si>
  <si>
    <t>DHI</t>
  </si>
  <si>
    <t>G3050</t>
  </si>
  <si>
    <t>Seals Holdings Inc</t>
  </si>
  <si>
    <t>G3055</t>
  </si>
  <si>
    <t>Hercules Hydraulic</t>
  </si>
  <si>
    <t>G3060</t>
  </si>
  <si>
    <t>Cabletec ICS Ltd</t>
  </si>
  <si>
    <t>G3070</t>
  </si>
  <si>
    <t>Amfast Ltd</t>
  </si>
  <si>
    <t>G3005</t>
  </si>
  <si>
    <t>Diploma PLC</t>
  </si>
  <si>
    <t>Diploma Australia Holdings Limited</t>
  </si>
  <si>
    <t>Diploma Overseas Ltd</t>
  </si>
  <si>
    <t>G3030</t>
  </si>
  <si>
    <t>Diploma UK Holdings Limited</t>
  </si>
  <si>
    <t>G3035</t>
  </si>
  <si>
    <t>Diploma Canada Holdings Ltd</t>
  </si>
  <si>
    <t>G3040</t>
  </si>
  <si>
    <t>Diploma Europe Holdings Limited - GBP</t>
  </si>
  <si>
    <t>Diploma Europe Holdings Limited - Euro</t>
  </si>
  <si>
    <t>Napier</t>
  </si>
  <si>
    <t>Diploma Europe Holdings Limited</t>
  </si>
  <si>
    <t>HoldComp</t>
  </si>
  <si>
    <t>Holding Companies</t>
  </si>
  <si>
    <t>G4005</t>
  </si>
  <si>
    <t>Williamson Cliff Ltd</t>
  </si>
  <si>
    <t>Newlandglebe Ltd</t>
  </si>
  <si>
    <t>NonOpComp</t>
  </si>
  <si>
    <t>Non Operating Companies</t>
  </si>
  <si>
    <t>GCA IFRS</t>
  </si>
  <si>
    <t>GCA GBP</t>
  </si>
  <si>
    <t>GCA USD</t>
  </si>
  <si>
    <t>GCA CAD</t>
  </si>
  <si>
    <t>GCA EUR</t>
  </si>
  <si>
    <t>G5030</t>
  </si>
  <si>
    <t>GCA CHF</t>
  </si>
  <si>
    <t>GCA AUD</t>
  </si>
  <si>
    <t>GCA DKK</t>
  </si>
  <si>
    <t>GCA SEK</t>
  </si>
  <si>
    <t>G5050</t>
  </si>
  <si>
    <t>GCA RMB</t>
  </si>
  <si>
    <t>G5055</t>
  </si>
  <si>
    <t>GCA NZD</t>
  </si>
  <si>
    <t>G5060</t>
  </si>
  <si>
    <t>GCA RUB</t>
  </si>
  <si>
    <t>JPY</t>
  </si>
  <si>
    <t>G5065</t>
  </si>
  <si>
    <t>GCA JPY</t>
  </si>
  <si>
    <t>G5070</t>
  </si>
  <si>
    <t>GCA LTL</t>
  </si>
  <si>
    <t>GCA XPF</t>
  </si>
  <si>
    <t>G5080</t>
  </si>
  <si>
    <t>GCA THB</t>
  </si>
  <si>
    <t>G5085</t>
  </si>
  <si>
    <t>GCA NOK</t>
  </si>
  <si>
    <t>GCA</t>
  </si>
  <si>
    <t>Group Consolidation Adjustments</t>
  </si>
  <si>
    <t>D2010</t>
  </si>
  <si>
    <t>Anachem</t>
  </si>
  <si>
    <t>D2015</t>
  </si>
  <si>
    <t>Dormant</t>
  </si>
  <si>
    <t>ICPHist</t>
  </si>
  <si>
    <t>L2091</t>
  </si>
  <si>
    <t>TPD £</t>
  </si>
  <si>
    <t>gcaAUT</t>
  </si>
  <si>
    <t>GCA AUT</t>
  </si>
  <si>
    <t>gcaDEU</t>
  </si>
  <si>
    <t>GCA DEU</t>
  </si>
  <si>
    <t>gcaESP</t>
  </si>
  <si>
    <t>GCA ESP</t>
  </si>
  <si>
    <t>gcaEST</t>
  </si>
  <si>
    <t>GCA EST</t>
  </si>
  <si>
    <t>gcaFIN</t>
  </si>
  <si>
    <t>GCA FIN</t>
  </si>
  <si>
    <t>gcaFRA</t>
  </si>
  <si>
    <t>GCA FRA</t>
  </si>
  <si>
    <t>gcaIRL</t>
  </si>
  <si>
    <t>GCA IRL</t>
  </si>
  <si>
    <t>gcaITA</t>
  </si>
  <si>
    <t>GCA ITA</t>
  </si>
  <si>
    <t>gcaLTU</t>
  </si>
  <si>
    <t>GCA LTU</t>
  </si>
  <si>
    <t>gcaLVA</t>
  </si>
  <si>
    <t>GCA LVA</t>
  </si>
  <si>
    <t>gcaNLD</t>
  </si>
  <si>
    <t>GCA NLD</t>
  </si>
  <si>
    <t>CoyEURadj</t>
  </si>
  <si>
    <t>EUR adjustments</t>
  </si>
  <si>
    <t>INT</t>
  </si>
  <si>
    <t>Integration</t>
  </si>
  <si>
    <t>Discont</t>
  </si>
  <si>
    <t>Discontinued</t>
  </si>
  <si>
    <t>Other</t>
  </si>
  <si>
    <t>HeadOffice</t>
  </si>
  <si>
    <t>DipGroup</t>
  </si>
  <si>
    <t>Diploma Group</t>
  </si>
  <si>
    <t>International Seals- Disposal</t>
  </si>
  <si>
    <t>Controls Disposal</t>
  </si>
  <si>
    <t>Business</t>
  </si>
  <si>
    <t>Sector</t>
  </si>
  <si>
    <t>Business Entity</t>
  </si>
  <si>
    <t>1 Purchased goods and services</t>
  </si>
  <si>
    <t>2 Capital goods</t>
  </si>
  <si>
    <t>3 Fuel and energy related activities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</si>
  <si>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</si>
  <si>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</si>
  <si>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</si>
  <si>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</si>
  <si>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</si>
  <si>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</si>
  <si>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</si>
  <si>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</si>
  <si>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 of life treatment of sold products</t>
  </si>
  <si>
    <t>13 Downstream leased assets</t>
  </si>
  <si>
    <t>14 Franchises</t>
  </si>
  <si>
    <t>15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</si>
</sst>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indexed="81"/>
      <name val="Tahoma"/>
      <family val="2"/>
    </font>
    <font>
      <sz val="10"/>
      <name val="Arial"/>
      <family val="2"/>
    </font>
    <font>
      <b/>
      <sz val="10"/>
      <color theme="1"/>
      <name val="Verdana"/>
    </font>
    <font>
      <sz val="8"/>
      <color theme="1"/>
      <name val="Verdana"/>
    </font>
    <font>
      <sz val="10"/>
      <color theme="1"/>
      <name val="Verdana"/>
    </font>
  </fonts>
  <fills count="8">
    <fill>
      <patternFill patternType="none"/>
    </fill>
    <fill>
      <patternFill patternType="gray125"/>
    </fill>
    <fill>
      <patternFill patternType="solid">
        <fgColor rgb="FFFF903F"/>
        <bgColor indexed="64"/>
      </patternFill>
    </fill>
    <fill>
      <patternFill patternType="solid">
        <fgColor theme="4"/>
        <bgColor indexed="64"/>
      </patternFill>
    </fill>
    <fill>
      <patternFill patternType="solid">
        <fgColor theme="5" tint="0.79998168889431442"/>
        <bgColor indexed="64"/>
      </patternFill>
    </fill>
    <fill>
      <patternFill patternType="solid">
        <fgColor theme="2"/>
        <bgColor indexed="64"/>
      </patternFill>
    </fill>
    <fill>
      <patternFill patternType="solid">
        <fgColor rgb="FFFFFF80"/>
      </patternFill>
    </fill>
    <fill>
      <patternFill patternType="solid">
        <fgColor rgb="FFFFFFFF"/>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52">
    <xf numFmtId="0" fontId="0" fillId="0" borderId="0" xfId="0"/>
    <xf numFmtId="0" fontId="1" fillId="2" borderId="1" xfId="0" applyFont="1" applyFill="1" applyBorder="1" applyAlignment="1">
      <alignment horizontal="center"/>
    </xf>
    <xf numFmtId="0" fontId="1" fillId="3" borderId="2" xfId="0" applyFont="1" applyFill="1" applyBorder="1" applyAlignment="1">
      <alignment horizontal="center" vertical="center"/>
    </xf>
    <xf numFmtId="0" fontId="0" fillId="4" borderId="2" xfId="0" applyFill="1" applyBorder="1" applyAlignment="1">
      <alignment horizontal="center" vertical="center" wrapText="1"/>
    </xf>
    <xf numFmtId="4" fontId="0" fillId="5" borderId="2" xfId="0" applyNumberFormat="1" applyFill="1" applyBorder="1" applyAlignment="1">
      <alignment horizontal="center" vertical="center"/>
    </xf>
    <xf numFmtId="0" fontId="2" fillId="0" borderId="0" xfId="0" applyFont="1"/>
    <xf numFmtId="4" fontId="2" fillId="5" borderId="2"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4" xfId="0" applyFont="1" applyFill="1" applyBorder="1"/>
    <xf numFmtId="0" fontId="1" fillId="2" borderId="5" xfId="0" applyFont="1" applyFill="1" applyBorder="1"/>
    <xf numFmtId="0" fontId="0" fillId="4" borderId="2" xfId="0" applyFill="1" applyBorder="1" applyAlignment="1">
      <alignment horizontal="center"/>
    </xf>
    <xf numFmtId="0" fontId="0" fillId="4" borderId="2" xfId="0" applyFill="1" applyBorder="1" applyAlignment="1">
      <alignment horizontal="center" vertical="center"/>
    </xf>
    <xf numFmtId="0" fontId="0" fillId="4" borderId="6" xfId="0" applyFill="1" applyBorder="1" applyAlignment="1">
      <alignment horizontal="center" vertical="center"/>
    </xf>
    <xf numFmtId="0" fontId="0" fillId="4" borderId="6" xfId="0" applyFill="1" applyBorder="1" applyAlignment="1">
      <alignment horizontal="center" vertical="center" wrapText="1"/>
    </xf>
    <xf numFmtId="0" fontId="0" fillId="4" borderId="3" xfId="0" applyFill="1" applyBorder="1" applyAlignment="1">
      <alignment horizontal="center" vertical="center" wrapText="1"/>
    </xf>
    <xf numFmtId="0" fontId="1" fillId="2" borderId="7" xfId="0" applyFont="1" applyFill="1" applyBorder="1" applyAlignment="1">
      <alignment horizontal="center"/>
    </xf>
    <xf numFmtId="0" fontId="1" fillId="2" borderId="8" xfId="0" applyFont="1" applyFill="1" applyBorder="1"/>
    <xf numFmtId="0" fontId="1" fillId="2" borderId="7" xfId="0" applyFont="1" applyFill="1" applyBorder="1"/>
    <xf numFmtId="0" fontId="1" fillId="2" borderId="8" xfId="0" applyFont="1" applyFill="1" applyBorder="1" applyAlignment="1">
      <alignment horizontal="center"/>
    </xf>
    <xf numFmtId="0" fontId="0" fillId="4" borderId="4" xfId="0" applyFill="1" applyBorder="1" applyAlignment="1">
      <alignment horizontal="center" vertical="center"/>
    </xf>
    <xf numFmtId="0" fontId="0" fillId="4" borderId="5" xfId="0" applyFill="1" applyBorder="1" applyAlignment="1">
      <alignment horizontal="center"/>
    </xf>
    <xf numFmtId="0" fontId="0" fillId="4" borderId="5" xfId="0" applyFill="1" applyBorder="1" applyAlignment="1">
      <alignment horizontal="center" vertical="center"/>
    </xf>
    <xf numFmtId="0" fontId="0" fillId="4" borderId="3" xfId="0"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2" fillId="5" borderId="5" xfId="0" applyFont="1" applyFill="1" applyBorder="1"/>
    <xf numFmtId="0" fontId="0" fillId="0" borderId="0" xfId="0" applyAlignment="1">
      <alignment wrapText="1"/>
    </xf>
    <xf numFmtId="0" fontId="2" fillId="0" borderId="12" xfId="0" applyFont="1" applyBorder="1"/>
    <xf numFmtId="0" fontId="0" fillId="0" borderId="12" xfId="0" applyBorder="1"/>
    <xf numFmtId="0" fontId="5" fillId="6" borderId="13" xfId="0" applyFont="1" applyFill="1" applyBorder="1" applyAlignment="1">
      <alignment horizontal="left" vertical="center" wrapText="1"/>
    </xf>
    <xf numFmtId="0" fontId="5" fillId="6" borderId="13" xfId="0" applyFont="1" applyFill="1" applyBorder="1" applyAlignment="1">
      <alignment horizontal="center" vertical="center" wrapText="1"/>
    </xf>
    <xf numFmtId="0" fontId="6" fillId="7" borderId="0" xfId="0" applyFont="1" applyFill="1" applyAlignment="1">
      <alignment horizontal="left" vertical="center" indent="2"/>
    </xf>
    <xf numFmtId="0" fontId="7" fillId="7" borderId="0" xfId="0" applyFont="1" applyFill="1" applyAlignment="1">
      <alignment horizontal="left" vertical="center" indent="9"/>
    </xf>
    <xf numFmtId="0" fontId="7" fillId="7" borderId="0" xfId="0" applyFont="1" applyFill="1" applyAlignment="1">
      <alignment horizontal="left" vertical="center" indent="12"/>
    </xf>
    <xf numFmtId="0" fontId="7" fillId="7" borderId="0" xfId="0" applyFont="1" applyFill="1" applyAlignment="1">
      <alignment horizontal="left" vertical="center" indent="10"/>
    </xf>
    <xf numFmtId="0" fontId="7" fillId="7" borderId="0" xfId="0" applyFont="1" applyFill="1" applyAlignment="1">
      <alignment horizontal="left" vertical="center" indent="8"/>
    </xf>
    <xf numFmtId="0" fontId="7" fillId="7" borderId="0" xfId="0" applyFont="1" applyFill="1" applyAlignment="1">
      <alignment horizontal="left" vertical="center" indent="6"/>
    </xf>
    <xf numFmtId="0" fontId="6" fillId="7" borderId="0" xfId="0" applyFont="1" applyFill="1" applyAlignment="1">
      <alignment horizontal="left" vertical="center" wrapText="1" indent="2"/>
    </xf>
    <xf numFmtId="0" fontId="7" fillId="7" borderId="0" xfId="0" applyFont="1" applyFill="1" applyAlignment="1">
      <alignment horizontal="left" vertical="center" wrapText="1" indent="5"/>
    </xf>
    <xf numFmtId="0" fontId="7" fillId="7" borderId="0" xfId="0" applyFont="1" applyFill="1" applyAlignment="1">
      <alignment horizontal="left" vertical="center" indent="4"/>
    </xf>
    <xf numFmtId="0" fontId="7" fillId="7" borderId="0" xfId="0" applyFont="1" applyFill="1" applyAlignment="1">
      <alignment horizontal="left" vertical="center" indent="5"/>
    </xf>
    <xf numFmtId="0" fontId="7" fillId="7" borderId="0" xfId="0" applyFont="1" applyFill="1" applyAlignment="1">
      <alignment horizontal="left" vertical="center" indent="2"/>
    </xf>
    <xf numFmtId="0" fontId="7" fillId="7" borderId="0" xfId="0" applyFont="1" applyFill="1" applyAlignment="1">
      <alignment horizontal="left" vertical="center" indent="13"/>
    </xf>
    <xf numFmtId="0" fontId="7" fillId="7" borderId="0" xfId="0" applyFont="1" applyFill="1" applyAlignment="1">
      <alignment horizontal="left" vertical="center" indent="14"/>
    </xf>
    <xf numFmtId="0" fontId="7" fillId="7" borderId="0" xfId="0" applyFont="1" applyFill="1" applyAlignment="1">
      <alignment horizontal="left" vertical="center" indent="16"/>
    </xf>
    <xf numFmtId="0" fontId="7" fillId="7" borderId="0" xfId="0" applyFont="1" applyFill="1" applyAlignment="1">
      <alignment horizontal="left" vertical="center" indent="1"/>
    </xf>
    <xf numFmtId="0" fontId="5" fillId="7" borderId="0" xfId="0" applyFont="1" applyFill="1" applyAlignment="1">
      <alignment horizontal="left" vertical="center" indent="1"/>
    </xf>
    <xf numFmtId="0" fontId="0" fillId="0" borderId="0" xfId="0" applyAlignment="1">
      <alignment horizontal="left"/>
    </xf>
    <xf numFmtId="4" fontId="0" fillId="0" borderId="0" xfId="0" applyNumberFormat="1"/>
    <xf numFmtId="0" fontId="2" fillId="5" borderId="4" xfId="0" applyFont="1" applyFill="1" applyBorder="1" applyAlignment="1">
      <alignment horizontal="right"/>
    </xf>
    <xf numFmtId="0" fontId="2" fillId="5" borderId="11" xfId="0" applyFont="1" applyFill="1" applyBorder="1" applyAlignment="1">
      <alignment horizontal="right"/>
    </xf>
    <xf numFmtId="0" fontId="2" fillId="5" borderId="5" xfId="0" applyFont="1" applyFill="1" applyBorder="1" applyAlignment="1">
      <alignment horizontal="right"/>
    </xf>
  </cellXfs>
  <cellStyles count="2">
    <cellStyle name="Normal" xfId="0" builtinId="0"/>
    <cellStyle name="Normal 2 2" xfId="1" xr:uid="{1E2E1319-945C-46E3-BE78-EDC16F0ED1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AEBBF-781E-4388-8FD8-425AB82172B6}">
  <dimension ref="A2:L56"/>
  <sheetViews>
    <sheetView showGridLines="0" zoomScale="90" zoomScaleNormal="90" workbookViewId="0">
      <selection activeCell="L28" sqref="L28"/>
    </sheetView>
  </sheetViews>
  <sheetFormatPr defaultRowHeight="14.5" x14ac:dyDescent="0.35"/>
  <cols>
    <col min="1" max="1" width="40.1796875" customWidth="1"/>
    <col min="2" max="2" width="13.1796875" customWidth="1"/>
    <col min="3" max="3" width="25.453125" customWidth="1"/>
    <col min="4" max="4" width="29.90625" hidden="1" customWidth="1"/>
    <col min="5" max="5" width="26" bestFit="1" customWidth="1"/>
    <col min="6" max="6" width="20.81640625" bestFit="1" customWidth="1"/>
    <col min="7" max="7" width="16.6328125" bestFit="1" customWidth="1"/>
    <col min="8" max="8" width="18.54296875" bestFit="1" customWidth="1"/>
    <col min="9" max="9" width="18.08984375" bestFit="1" customWidth="1"/>
    <col min="10" max="10" width="19.54296875" bestFit="1" customWidth="1"/>
    <col min="11" max="11" width="16.6328125" bestFit="1" customWidth="1"/>
    <col min="12" max="12" width="18.1796875" bestFit="1" customWidth="1"/>
  </cols>
  <sheetData>
    <row r="2" spans="1:12" x14ac:dyDescent="0.35">
      <c r="A2" s="5" t="s">
        <v>0</v>
      </c>
    </row>
    <row r="3" spans="1:12" x14ac:dyDescent="0.35">
      <c r="A3" s="15" t="s">
        <v>112</v>
      </c>
      <c r="B3" s="16" t="s">
        <v>113</v>
      </c>
      <c r="C3" s="1" t="s">
        <v>2</v>
      </c>
      <c r="D3" s="18" t="s">
        <v>194</v>
      </c>
      <c r="E3" s="2" t="s">
        <v>232</v>
      </c>
      <c r="F3" s="2" t="s">
        <v>233</v>
      </c>
      <c r="G3" s="2" t="s">
        <v>235</v>
      </c>
      <c r="H3" s="2" t="s">
        <v>30</v>
      </c>
      <c r="I3" s="2" t="s">
        <v>236</v>
      </c>
      <c r="J3" s="2" t="s">
        <v>237</v>
      </c>
      <c r="K3" s="2" t="s">
        <v>238</v>
      </c>
      <c r="L3" s="2" t="s">
        <v>239</v>
      </c>
    </row>
    <row r="4" spans="1:12" x14ac:dyDescent="0.35">
      <c r="A4" s="10">
        <v>1</v>
      </c>
      <c r="B4" s="10" t="s">
        <v>167</v>
      </c>
      <c r="C4" s="3" t="s">
        <v>195</v>
      </c>
      <c r="D4" s="19" t="s">
        <v>204</v>
      </c>
      <c r="E4" s="4">
        <v>1336.4189907252837</v>
      </c>
      <c r="F4" s="4">
        <v>1336.4189907252837</v>
      </c>
      <c r="G4" s="6">
        <v>1736.4822165561538</v>
      </c>
      <c r="H4" s="6">
        <v>1736.4822165561538</v>
      </c>
      <c r="I4" s="6">
        <v>1355.330195491242</v>
      </c>
      <c r="J4" s="4">
        <v>1355.330195491242</v>
      </c>
      <c r="K4" s="6">
        <v>1408.5866757999991</v>
      </c>
      <c r="L4" s="6">
        <v>1408.5866757999991</v>
      </c>
    </row>
    <row r="5" spans="1:12" x14ac:dyDescent="0.35">
      <c r="A5" s="10">
        <v>1</v>
      </c>
      <c r="B5" s="10" t="s">
        <v>167</v>
      </c>
      <c r="C5" s="3" t="s">
        <v>196</v>
      </c>
      <c r="D5" s="19" t="s">
        <v>204</v>
      </c>
      <c r="E5" s="4">
        <v>936.81688096273422</v>
      </c>
      <c r="F5" s="4">
        <v>936.81688096273422</v>
      </c>
      <c r="G5" s="6">
        <v>2120.6170915547868</v>
      </c>
      <c r="H5" s="6">
        <v>2120.6170915547868</v>
      </c>
      <c r="I5" s="6">
        <v>1917.7899995648161</v>
      </c>
      <c r="J5" s="4">
        <v>1917.7899995648161</v>
      </c>
      <c r="K5" s="6">
        <v>825.72831717385009</v>
      </c>
      <c r="L5" s="6">
        <v>825.72831717385009</v>
      </c>
    </row>
    <row r="6" spans="1:12" x14ac:dyDescent="0.35">
      <c r="A6" s="10">
        <v>1</v>
      </c>
      <c r="B6" s="10" t="s">
        <v>167</v>
      </c>
      <c r="C6" s="3" t="s">
        <v>197</v>
      </c>
      <c r="D6" s="19" t="s">
        <v>205</v>
      </c>
      <c r="E6" s="4">
        <v>0</v>
      </c>
      <c r="F6" s="4">
        <v>0</v>
      </c>
      <c r="G6" s="6">
        <v>0</v>
      </c>
      <c r="H6" s="6">
        <v>0</v>
      </c>
      <c r="I6" s="6">
        <v>0</v>
      </c>
      <c r="J6" s="4">
        <v>0</v>
      </c>
      <c r="K6" s="6">
        <v>0</v>
      </c>
      <c r="L6" s="6">
        <v>0</v>
      </c>
    </row>
    <row r="7" spans="1:12" x14ac:dyDescent="0.35">
      <c r="A7" s="10">
        <v>1</v>
      </c>
      <c r="B7" s="10" t="s">
        <v>167</v>
      </c>
      <c r="C7" s="3" t="s">
        <v>198</v>
      </c>
      <c r="D7" s="19" t="s">
        <v>204</v>
      </c>
      <c r="E7" s="4">
        <v>6.4105660479999997</v>
      </c>
      <c r="F7" s="4">
        <v>6.4105660479999997</v>
      </c>
      <c r="G7" s="6">
        <v>18.080351320000002</v>
      </c>
      <c r="H7" s="6">
        <v>18.080351320000002</v>
      </c>
      <c r="I7" s="6">
        <v>1.5385</v>
      </c>
      <c r="J7" s="4">
        <v>1.5385</v>
      </c>
      <c r="K7" s="6">
        <v>1.6471000000000002</v>
      </c>
      <c r="L7" s="6">
        <v>1.6471000000000002</v>
      </c>
    </row>
    <row r="8" spans="1:12" x14ac:dyDescent="0.35">
      <c r="A8" s="20">
        <v>1</v>
      </c>
      <c r="B8" s="10"/>
      <c r="C8" s="3" t="s">
        <v>230</v>
      </c>
      <c r="D8" s="19" t="s">
        <v>205</v>
      </c>
      <c r="E8" s="4">
        <v>0</v>
      </c>
      <c r="F8" s="4">
        <v>0</v>
      </c>
      <c r="G8" s="6">
        <v>0</v>
      </c>
      <c r="H8" s="6">
        <v>0</v>
      </c>
      <c r="I8" s="6">
        <v>328.95312132109353</v>
      </c>
      <c r="J8" s="4">
        <v>328.95312132109353</v>
      </c>
      <c r="K8" s="6">
        <v>1333.8498693113579</v>
      </c>
      <c r="L8" s="6">
        <v>1333.8498693113579</v>
      </c>
    </row>
    <row r="9" spans="1:12" x14ac:dyDescent="0.35">
      <c r="A9" s="20">
        <v>2</v>
      </c>
      <c r="B9" s="10" t="s">
        <v>167</v>
      </c>
      <c r="C9" s="3" t="s">
        <v>200</v>
      </c>
      <c r="D9" s="19" t="s">
        <v>204</v>
      </c>
      <c r="E9" s="4">
        <v>3365.3929247558435</v>
      </c>
      <c r="F9" s="4">
        <v>2757.2595463347839</v>
      </c>
      <c r="G9" s="6">
        <v>3667.1892511163815</v>
      </c>
      <c r="H9" s="6">
        <v>5692.5506239032366</v>
      </c>
      <c r="I9" s="6">
        <v>5272.937246624535</v>
      </c>
      <c r="J9" s="4">
        <v>4764.38176318144</v>
      </c>
      <c r="K9" s="6">
        <v>4520.5869049160137</v>
      </c>
      <c r="L9" s="4">
        <v>4279.6023239438364</v>
      </c>
    </row>
    <row r="10" spans="1:12" x14ac:dyDescent="0.35">
      <c r="A10" s="20">
        <v>2</v>
      </c>
      <c r="B10" s="10" t="s">
        <v>167</v>
      </c>
      <c r="C10" s="3" t="s">
        <v>201</v>
      </c>
      <c r="D10" s="19" t="s">
        <v>204</v>
      </c>
      <c r="E10" s="4">
        <v>53.952952393083365</v>
      </c>
      <c r="F10" s="4">
        <v>53.952952393083365</v>
      </c>
      <c r="G10" s="6">
        <v>139.66369914556904</v>
      </c>
      <c r="H10" s="6">
        <v>139.66369914556904</v>
      </c>
      <c r="I10" s="6">
        <v>53.555697048902019</v>
      </c>
      <c r="J10" s="4">
        <v>53.555697048902019</v>
      </c>
      <c r="K10" s="6">
        <v>0</v>
      </c>
      <c r="L10" s="4">
        <v>0</v>
      </c>
    </row>
    <row r="11" spans="1:12" x14ac:dyDescent="0.35">
      <c r="A11" s="20">
        <v>2</v>
      </c>
      <c r="B11" s="10" t="s">
        <v>167</v>
      </c>
      <c r="C11" s="3" t="s">
        <v>202</v>
      </c>
      <c r="D11" s="19" t="s">
        <v>205</v>
      </c>
      <c r="E11" s="4">
        <v>0</v>
      </c>
      <c r="F11" s="4">
        <v>0</v>
      </c>
      <c r="G11" s="6">
        <v>0</v>
      </c>
      <c r="H11" s="6">
        <v>0</v>
      </c>
      <c r="I11" s="6">
        <v>0</v>
      </c>
      <c r="J11" s="4">
        <v>0</v>
      </c>
      <c r="K11" s="6">
        <v>0</v>
      </c>
      <c r="L11" s="4">
        <v>0</v>
      </c>
    </row>
    <row r="12" spans="1:12" x14ac:dyDescent="0.35">
      <c r="A12" s="20">
        <v>2</v>
      </c>
      <c r="B12" s="10"/>
      <c r="C12" s="3" t="s">
        <v>231</v>
      </c>
      <c r="D12" s="19" t="s">
        <v>205</v>
      </c>
      <c r="E12" s="4">
        <v>0</v>
      </c>
      <c r="F12" s="4">
        <v>0</v>
      </c>
      <c r="G12" s="6">
        <v>0</v>
      </c>
      <c r="H12" s="6">
        <v>0</v>
      </c>
      <c r="I12" s="6">
        <v>1023.9800002485927</v>
      </c>
      <c r="J12" s="4">
        <v>1250.3915791007703</v>
      </c>
      <c r="K12" s="6">
        <v>1329.2162479218264</v>
      </c>
      <c r="L12" s="4">
        <v>1338.9515573733381</v>
      </c>
    </row>
    <row r="13" spans="1:12" x14ac:dyDescent="0.35">
      <c r="A13" s="21">
        <v>3</v>
      </c>
      <c r="B13" s="11">
        <v>1</v>
      </c>
      <c r="C13" s="3" t="s">
        <v>173</v>
      </c>
      <c r="D13" s="19" t="s">
        <v>204</v>
      </c>
      <c r="E13" s="4">
        <v>79412.202308481166</v>
      </c>
      <c r="F13" s="4">
        <v>79412.202308481166</v>
      </c>
      <c r="G13" s="4">
        <v>176935.40917685238</v>
      </c>
      <c r="H13" s="4">
        <v>176935.40917685238</v>
      </c>
      <c r="I13" s="4">
        <v>191705.13855248954</v>
      </c>
      <c r="J13" s="4">
        <v>191705.13855248954</v>
      </c>
      <c r="K13" s="4">
        <v>154151.64044865148</v>
      </c>
      <c r="L13" s="4">
        <v>154151.64044865148</v>
      </c>
    </row>
    <row r="14" spans="1:12" x14ac:dyDescent="0.35">
      <c r="A14" s="21">
        <v>3</v>
      </c>
      <c r="B14" s="11">
        <v>2</v>
      </c>
      <c r="C14" s="3" t="s">
        <v>174</v>
      </c>
      <c r="D14" s="19" t="s">
        <v>204</v>
      </c>
      <c r="E14" s="4">
        <v>1553.4786315087429</v>
      </c>
      <c r="F14" s="4">
        <v>1553.4786315087429</v>
      </c>
      <c r="G14" s="4">
        <v>6973.2078257782478</v>
      </c>
      <c r="H14" s="4">
        <v>6973.2078257782478</v>
      </c>
      <c r="I14" s="4">
        <v>8445.8015955042374</v>
      </c>
      <c r="J14" s="4">
        <v>8445.8015955042374</v>
      </c>
      <c r="K14" s="4">
        <v>5971.4072272491831</v>
      </c>
      <c r="L14" s="4">
        <v>5971.4072272491831</v>
      </c>
    </row>
    <row r="15" spans="1:12" ht="29" x14ac:dyDescent="0.35">
      <c r="A15" s="21">
        <v>3</v>
      </c>
      <c r="B15" s="11">
        <v>3</v>
      </c>
      <c r="C15" s="3" t="s">
        <v>175</v>
      </c>
      <c r="D15" s="19" t="s">
        <v>204</v>
      </c>
      <c r="E15" s="4">
        <v>1173.4545916056613</v>
      </c>
      <c r="F15" s="4">
        <v>1173.4545916056613</v>
      </c>
      <c r="G15" s="4">
        <v>2303.6219620321554</v>
      </c>
      <c r="H15" s="4">
        <v>2303.6219620321554</v>
      </c>
      <c r="I15" s="4">
        <v>2299.2305245545008</v>
      </c>
      <c r="J15" s="4">
        <v>2299.2305245545008</v>
      </c>
      <c r="K15" s="4">
        <v>2160.8372314294934</v>
      </c>
      <c r="L15" s="4">
        <v>2160.8372314294934</v>
      </c>
    </row>
    <row r="16" spans="1:12" ht="29" x14ac:dyDescent="0.35">
      <c r="A16" s="21">
        <v>3</v>
      </c>
      <c r="B16" s="11">
        <v>4</v>
      </c>
      <c r="C16" s="3" t="s">
        <v>176</v>
      </c>
      <c r="D16" s="19" t="s">
        <v>204</v>
      </c>
      <c r="E16" s="4">
        <v>22660.451282315404</v>
      </c>
      <c r="F16" s="4">
        <v>22660.451282315404</v>
      </c>
      <c r="G16" s="4">
        <v>38920.499452408032</v>
      </c>
      <c r="H16" s="4">
        <v>38920.499452408032</v>
      </c>
      <c r="I16" s="4">
        <v>41103.352916057978</v>
      </c>
      <c r="J16" s="4">
        <v>41103.352916057978</v>
      </c>
      <c r="K16" s="4">
        <v>42362.159620086422</v>
      </c>
      <c r="L16" s="4">
        <v>42362.159620086422</v>
      </c>
    </row>
    <row r="17" spans="1:12" ht="29" x14ac:dyDescent="0.35">
      <c r="A17" s="21">
        <v>3</v>
      </c>
      <c r="B17" s="11">
        <v>5</v>
      </c>
      <c r="C17" s="3" t="s">
        <v>177</v>
      </c>
      <c r="D17" s="19" t="s">
        <v>204</v>
      </c>
      <c r="E17" s="4">
        <v>398.82427199207723</v>
      </c>
      <c r="F17" s="4">
        <v>398.82427199207723</v>
      </c>
      <c r="G17" s="4">
        <v>625.92364758730685</v>
      </c>
      <c r="H17" s="4">
        <v>625.92364758730685</v>
      </c>
      <c r="I17" s="4">
        <v>721.55268503366597</v>
      </c>
      <c r="J17" s="4">
        <v>721.55268503366597</v>
      </c>
      <c r="K17" s="4">
        <v>464.9853040219844</v>
      </c>
      <c r="L17" s="4">
        <v>464.9853040219844</v>
      </c>
    </row>
    <row r="18" spans="1:12" x14ac:dyDescent="0.35">
      <c r="A18" s="21">
        <v>3</v>
      </c>
      <c r="B18" s="11">
        <v>6</v>
      </c>
      <c r="C18" s="3" t="s">
        <v>178</v>
      </c>
      <c r="D18" s="19" t="s">
        <v>204</v>
      </c>
      <c r="E18" s="4">
        <v>3171.7995045787802</v>
      </c>
      <c r="F18" s="4">
        <v>3171.7995045787802</v>
      </c>
      <c r="G18" s="4">
        <v>6734.7391153093195</v>
      </c>
      <c r="H18" s="4">
        <v>6734.7391153093195</v>
      </c>
      <c r="I18" s="4">
        <v>6514.0033433913959</v>
      </c>
      <c r="J18" s="4">
        <v>6514.0033433913959</v>
      </c>
      <c r="K18" s="4">
        <v>5708.7732981265171</v>
      </c>
      <c r="L18" s="4">
        <v>5708.7732981265171</v>
      </c>
    </row>
    <row r="19" spans="1:12" x14ac:dyDescent="0.35">
      <c r="A19" s="21">
        <v>3</v>
      </c>
      <c r="B19" s="11">
        <v>7</v>
      </c>
      <c r="C19" s="3" t="s">
        <v>179</v>
      </c>
      <c r="D19" s="19" t="s">
        <v>204</v>
      </c>
      <c r="E19" s="4">
        <v>3379.0943704192255</v>
      </c>
      <c r="F19" s="4">
        <v>3379.0943704192255</v>
      </c>
      <c r="G19" s="4">
        <v>6955.0291896007438</v>
      </c>
      <c r="H19" s="4">
        <v>6955.0291896007438</v>
      </c>
      <c r="I19" s="4">
        <v>6123.1242941016199</v>
      </c>
      <c r="J19" s="4">
        <v>6123.1242941016199</v>
      </c>
      <c r="K19" s="4">
        <v>5166.7425806231067</v>
      </c>
      <c r="L19" s="4">
        <v>5166.7425806231067</v>
      </c>
    </row>
    <row r="20" spans="1:12" x14ac:dyDescent="0.35">
      <c r="A20" s="21">
        <v>3</v>
      </c>
      <c r="B20" s="11">
        <v>8</v>
      </c>
      <c r="C20" s="3" t="s">
        <v>180</v>
      </c>
      <c r="D20" s="19" t="s">
        <v>204</v>
      </c>
      <c r="E20" s="4">
        <v>1436.4359900830077</v>
      </c>
      <c r="F20" s="4">
        <v>1436.4359900830077</v>
      </c>
      <c r="G20" s="4">
        <v>2922.661197208477</v>
      </c>
      <c r="H20" s="4">
        <v>2922.661197208477</v>
      </c>
      <c r="I20" s="4">
        <v>2800.9243702788699</v>
      </c>
      <c r="J20" s="4">
        <v>2800.9243702788699</v>
      </c>
      <c r="K20" s="4">
        <v>2691.9198914799654</v>
      </c>
      <c r="L20" s="4">
        <v>2691.9198914799654</v>
      </c>
    </row>
    <row r="21" spans="1:12" ht="29" x14ac:dyDescent="0.35">
      <c r="A21" s="21">
        <v>3</v>
      </c>
      <c r="B21" s="11">
        <v>9</v>
      </c>
      <c r="C21" s="3" t="s">
        <v>182</v>
      </c>
      <c r="D21" s="19" t="s">
        <v>205</v>
      </c>
      <c r="E21" s="4">
        <v>0</v>
      </c>
      <c r="F21" s="4">
        <v>0</v>
      </c>
      <c r="G21" s="4">
        <v>0</v>
      </c>
      <c r="H21" s="4">
        <v>0</v>
      </c>
      <c r="I21" s="4">
        <v>0</v>
      </c>
      <c r="J21" s="4">
        <v>0</v>
      </c>
      <c r="K21" s="4">
        <v>0</v>
      </c>
      <c r="L21" s="4">
        <v>0</v>
      </c>
    </row>
    <row r="22" spans="1:12" x14ac:dyDescent="0.35">
      <c r="A22" s="21">
        <v>3</v>
      </c>
      <c r="B22" s="11">
        <v>10</v>
      </c>
      <c r="C22" s="3" t="s">
        <v>183</v>
      </c>
      <c r="D22" s="19" t="s">
        <v>205</v>
      </c>
      <c r="E22" s="4">
        <v>0</v>
      </c>
      <c r="F22" s="4">
        <v>0</v>
      </c>
      <c r="G22" s="4">
        <v>0</v>
      </c>
      <c r="H22" s="4">
        <v>0</v>
      </c>
      <c r="I22" s="4">
        <v>0</v>
      </c>
      <c r="J22" s="4">
        <v>0</v>
      </c>
      <c r="K22" s="4">
        <v>0</v>
      </c>
      <c r="L22" s="4">
        <v>0</v>
      </c>
    </row>
    <row r="23" spans="1:12" x14ac:dyDescent="0.35">
      <c r="A23" s="21">
        <v>3</v>
      </c>
      <c r="B23" s="11">
        <v>11</v>
      </c>
      <c r="C23" s="3" t="s">
        <v>184</v>
      </c>
      <c r="D23" s="19" t="s">
        <v>204</v>
      </c>
      <c r="E23" s="4">
        <v>861.11502253866593</v>
      </c>
      <c r="F23" s="4">
        <v>861.11502253866593</v>
      </c>
      <c r="G23" s="4">
        <v>1722.2300450773314</v>
      </c>
      <c r="H23" s="4">
        <v>1722.2300450773314</v>
      </c>
      <c r="I23" s="4">
        <v>1722.2300450773314</v>
      </c>
      <c r="J23" s="4">
        <v>1722.2300450773314</v>
      </c>
      <c r="K23" s="4">
        <v>1722.2300450773314</v>
      </c>
      <c r="L23" s="4">
        <v>1722.2300450773314</v>
      </c>
    </row>
    <row r="24" spans="1:12" ht="29" x14ac:dyDescent="0.35">
      <c r="A24" s="21">
        <v>3</v>
      </c>
      <c r="B24" s="11">
        <v>12</v>
      </c>
      <c r="C24" s="3" t="s">
        <v>185</v>
      </c>
      <c r="D24" s="19" t="s">
        <v>204</v>
      </c>
      <c r="E24" s="4">
        <v>20.476429279457825</v>
      </c>
      <c r="F24" s="4">
        <v>20.476429279457825</v>
      </c>
      <c r="G24" s="4">
        <v>41.126644371441174</v>
      </c>
      <c r="H24" s="4">
        <v>41.126644371441174</v>
      </c>
      <c r="I24" s="4">
        <v>93.945599393436993</v>
      </c>
      <c r="J24" s="4">
        <v>93.945599393436993</v>
      </c>
      <c r="K24" s="4">
        <v>95.631572615732779</v>
      </c>
      <c r="L24" s="4">
        <v>95.631572615732779</v>
      </c>
    </row>
    <row r="25" spans="1:12" x14ac:dyDescent="0.35">
      <c r="A25" s="21">
        <v>3</v>
      </c>
      <c r="B25" s="11">
        <v>13</v>
      </c>
      <c r="C25" s="3" t="s">
        <v>186</v>
      </c>
      <c r="D25" s="19" t="s">
        <v>205</v>
      </c>
      <c r="E25" s="4">
        <v>0</v>
      </c>
      <c r="F25" s="4">
        <v>0</v>
      </c>
      <c r="G25" s="4">
        <v>0</v>
      </c>
      <c r="H25" s="4">
        <v>0</v>
      </c>
      <c r="I25" s="4">
        <v>0</v>
      </c>
      <c r="J25" s="4">
        <v>0</v>
      </c>
      <c r="K25" s="4">
        <v>0</v>
      </c>
      <c r="L25" s="4">
        <v>0</v>
      </c>
    </row>
    <row r="26" spans="1:12" x14ac:dyDescent="0.35">
      <c r="A26" s="21">
        <v>3</v>
      </c>
      <c r="B26" s="11">
        <v>14</v>
      </c>
      <c r="C26" s="3" t="s">
        <v>187</v>
      </c>
      <c r="D26" s="19" t="s">
        <v>205</v>
      </c>
      <c r="E26" s="4">
        <v>0</v>
      </c>
      <c r="F26" s="4">
        <v>0</v>
      </c>
      <c r="G26" s="4">
        <v>0</v>
      </c>
      <c r="H26" s="4">
        <v>0</v>
      </c>
      <c r="I26" s="4">
        <v>0</v>
      </c>
      <c r="J26" s="4">
        <v>0</v>
      </c>
      <c r="K26" s="4">
        <v>0</v>
      </c>
      <c r="L26" s="4">
        <v>0</v>
      </c>
    </row>
    <row r="27" spans="1:12" x14ac:dyDescent="0.35">
      <c r="A27" s="23">
        <v>3</v>
      </c>
      <c r="B27" s="22">
        <v>15</v>
      </c>
      <c r="C27" s="14" t="s">
        <v>188</v>
      </c>
      <c r="D27" s="24" t="s">
        <v>205</v>
      </c>
      <c r="E27" s="4">
        <v>0</v>
      </c>
      <c r="F27" s="4">
        <v>0</v>
      </c>
      <c r="G27" s="4">
        <v>0</v>
      </c>
      <c r="H27" s="4">
        <v>0</v>
      </c>
      <c r="I27" s="4">
        <v>0</v>
      </c>
      <c r="J27" s="4">
        <v>0</v>
      </c>
      <c r="K27" s="4">
        <v>0</v>
      </c>
      <c r="L27" s="4">
        <v>0</v>
      </c>
    </row>
    <row r="28" spans="1:12" x14ac:dyDescent="0.35">
      <c r="A28" s="49" t="s">
        <v>111</v>
      </c>
      <c r="B28" s="50"/>
      <c r="C28" s="50"/>
      <c r="D28" s="25"/>
      <c r="E28" s="6">
        <v>119766.32471768715</v>
      </c>
      <c r="F28" s="6">
        <v>119158.19133926609</v>
      </c>
      <c r="G28" s="6">
        <v>251816.48086591833</v>
      </c>
      <c r="H28" s="6">
        <v>253841.8422387052</v>
      </c>
      <c r="I28" s="6">
        <v>271483.38868618186</v>
      </c>
      <c r="J28" s="6">
        <v>271201.24478159094</v>
      </c>
      <c r="K28" s="6">
        <v>229915.94233448428</v>
      </c>
      <c r="L28" s="6">
        <v>229684.6930629636</v>
      </c>
    </row>
    <row r="31" spans="1:12" x14ac:dyDescent="0.35">
      <c r="A31" s="5" t="s">
        <v>1</v>
      </c>
    </row>
    <row r="32" spans="1:12" x14ac:dyDescent="0.35">
      <c r="A32" s="15" t="s">
        <v>112</v>
      </c>
      <c r="B32" s="16" t="s">
        <v>113</v>
      </c>
      <c r="C32" s="1" t="s">
        <v>2</v>
      </c>
      <c r="E32" s="2" t="s">
        <v>232</v>
      </c>
      <c r="F32" s="2" t="s">
        <v>233</v>
      </c>
      <c r="G32" s="2" t="s">
        <v>235</v>
      </c>
      <c r="H32" s="2" t="s">
        <v>30</v>
      </c>
      <c r="I32" s="2" t="s">
        <v>242</v>
      </c>
      <c r="J32" s="2" t="s">
        <v>243</v>
      </c>
      <c r="K32" s="2" t="s">
        <v>234</v>
      </c>
      <c r="L32" s="2" t="s">
        <v>234</v>
      </c>
    </row>
    <row r="33" spans="1:12" x14ac:dyDescent="0.35">
      <c r="A33" s="10">
        <v>1</v>
      </c>
      <c r="B33" s="10" t="s">
        <v>167</v>
      </c>
      <c r="C33" s="3" t="s">
        <v>240</v>
      </c>
      <c r="E33" s="4" t="s">
        <v>21</v>
      </c>
      <c r="F33" s="4" t="s">
        <v>21</v>
      </c>
      <c r="G33" s="4" t="s">
        <v>21</v>
      </c>
      <c r="H33" s="4" t="s">
        <v>21</v>
      </c>
      <c r="I33" s="4">
        <v>3351</v>
      </c>
      <c r="J33" s="4">
        <v>3351</v>
      </c>
      <c r="K33" s="4">
        <v>2443</v>
      </c>
      <c r="L33" s="4">
        <v>2443</v>
      </c>
    </row>
    <row r="34" spans="1:12" x14ac:dyDescent="0.35">
      <c r="A34" s="20">
        <v>2</v>
      </c>
      <c r="B34" s="10" t="s">
        <v>167</v>
      </c>
      <c r="C34" s="3" t="s">
        <v>241</v>
      </c>
      <c r="E34" s="4" t="s">
        <v>21</v>
      </c>
      <c r="F34" s="4" t="s">
        <v>21</v>
      </c>
      <c r="G34" s="4" t="s">
        <v>21</v>
      </c>
      <c r="H34" s="4" t="s">
        <v>21</v>
      </c>
      <c r="I34" s="4">
        <v>5585.1040943761027</v>
      </c>
      <c r="J34" s="4">
        <v>4953.2909947591979</v>
      </c>
      <c r="K34" s="4">
        <v>4806</v>
      </c>
      <c r="L34" s="4">
        <v>4557.67</v>
      </c>
    </row>
    <row r="35" spans="1:12" x14ac:dyDescent="0.35">
      <c r="A35" s="21">
        <v>3</v>
      </c>
      <c r="B35" s="11">
        <v>1</v>
      </c>
      <c r="C35" s="3" t="s">
        <v>173</v>
      </c>
      <c r="E35" s="4" t="s">
        <v>21</v>
      </c>
      <c r="F35" s="4" t="s">
        <v>21</v>
      </c>
      <c r="G35" s="4" t="s">
        <v>21</v>
      </c>
      <c r="H35" s="4" t="s">
        <v>21</v>
      </c>
      <c r="I35" s="6">
        <v>81338</v>
      </c>
      <c r="J35" s="6">
        <v>81338</v>
      </c>
      <c r="K35" s="6">
        <v>101436</v>
      </c>
      <c r="L35" s="6">
        <v>101436</v>
      </c>
    </row>
    <row r="36" spans="1:12" x14ac:dyDescent="0.35">
      <c r="A36" s="21">
        <v>3</v>
      </c>
      <c r="B36" s="11">
        <v>2</v>
      </c>
      <c r="C36" s="3" t="s">
        <v>174</v>
      </c>
      <c r="E36" s="4" t="s">
        <v>21</v>
      </c>
      <c r="F36" s="4" t="s">
        <v>21</v>
      </c>
      <c r="G36" s="4" t="s">
        <v>21</v>
      </c>
      <c r="H36" s="4" t="s">
        <v>21</v>
      </c>
      <c r="I36" s="4">
        <v>14113</v>
      </c>
      <c r="J36" s="4">
        <v>14113</v>
      </c>
      <c r="K36" s="4">
        <v>12431</v>
      </c>
      <c r="L36" s="4">
        <v>12431</v>
      </c>
    </row>
    <row r="37" spans="1:12" ht="29" x14ac:dyDescent="0.35">
      <c r="A37" s="21">
        <v>3</v>
      </c>
      <c r="B37" s="11">
        <v>3</v>
      </c>
      <c r="C37" s="3" t="s">
        <v>175</v>
      </c>
      <c r="E37" s="4" t="s">
        <v>21</v>
      </c>
      <c r="F37" s="4" t="s">
        <v>21</v>
      </c>
      <c r="G37" s="4" t="s">
        <v>21</v>
      </c>
      <c r="H37" s="4" t="s">
        <v>21</v>
      </c>
      <c r="I37" s="4">
        <v>1915</v>
      </c>
      <c r="J37" s="4">
        <v>1915</v>
      </c>
      <c r="K37" s="4">
        <v>1705</v>
      </c>
      <c r="L37" s="4">
        <v>1705</v>
      </c>
    </row>
    <row r="38" spans="1:12" ht="29" x14ac:dyDescent="0.35">
      <c r="A38" s="21">
        <v>3</v>
      </c>
      <c r="B38" s="11">
        <v>4</v>
      </c>
      <c r="C38" s="3" t="s">
        <v>176</v>
      </c>
      <c r="E38" s="4" t="s">
        <v>21</v>
      </c>
      <c r="F38" s="4" t="s">
        <v>21</v>
      </c>
      <c r="G38" s="4" t="s">
        <v>21</v>
      </c>
      <c r="H38" s="4" t="s">
        <v>21</v>
      </c>
      <c r="I38" s="4">
        <v>38779</v>
      </c>
      <c r="J38" s="4">
        <v>38779</v>
      </c>
      <c r="K38" s="4">
        <v>67200</v>
      </c>
      <c r="L38" s="4">
        <v>67200</v>
      </c>
    </row>
    <row r="39" spans="1:12" ht="29" x14ac:dyDescent="0.35">
      <c r="A39" s="21">
        <v>3</v>
      </c>
      <c r="B39" s="11">
        <v>5</v>
      </c>
      <c r="C39" s="3" t="s">
        <v>177</v>
      </c>
      <c r="E39" s="4" t="s">
        <v>21</v>
      </c>
      <c r="F39" s="4" t="s">
        <v>21</v>
      </c>
      <c r="G39" s="4" t="s">
        <v>21</v>
      </c>
      <c r="H39" s="4" t="s">
        <v>21</v>
      </c>
      <c r="I39" s="4">
        <v>1816</v>
      </c>
      <c r="J39" s="4">
        <v>1816</v>
      </c>
      <c r="K39" s="4">
        <v>1499</v>
      </c>
      <c r="L39" s="4">
        <v>1499</v>
      </c>
    </row>
    <row r="40" spans="1:12" x14ac:dyDescent="0.35">
      <c r="A40" s="21">
        <v>3</v>
      </c>
      <c r="B40" s="11">
        <v>6</v>
      </c>
      <c r="C40" s="3" t="s">
        <v>178</v>
      </c>
      <c r="E40" s="4" t="s">
        <v>21</v>
      </c>
      <c r="F40" s="4" t="s">
        <v>21</v>
      </c>
      <c r="G40" s="4" t="s">
        <v>21</v>
      </c>
      <c r="H40" s="4" t="s">
        <v>21</v>
      </c>
      <c r="I40" s="4">
        <v>7253</v>
      </c>
      <c r="J40" s="4">
        <v>7253</v>
      </c>
      <c r="K40" s="4">
        <v>8889</v>
      </c>
      <c r="L40" s="4">
        <v>8889</v>
      </c>
    </row>
    <row r="41" spans="1:12" x14ac:dyDescent="0.35">
      <c r="A41" s="21">
        <v>3</v>
      </c>
      <c r="B41" s="11">
        <v>7</v>
      </c>
      <c r="C41" s="3" t="s">
        <v>179</v>
      </c>
      <c r="E41" s="4" t="s">
        <v>21</v>
      </c>
      <c r="F41" s="4" t="s">
        <v>21</v>
      </c>
      <c r="G41" s="4" t="s">
        <v>21</v>
      </c>
      <c r="H41" s="4" t="s">
        <v>21</v>
      </c>
      <c r="I41" s="4">
        <v>3258</v>
      </c>
      <c r="J41" s="4">
        <v>3258</v>
      </c>
      <c r="K41" s="4">
        <v>2972</v>
      </c>
      <c r="L41" s="4">
        <v>2972</v>
      </c>
    </row>
    <row r="42" spans="1:12" x14ac:dyDescent="0.35">
      <c r="A42" s="21">
        <v>3</v>
      </c>
      <c r="B42" s="11">
        <v>8</v>
      </c>
      <c r="C42" s="3" t="s">
        <v>180</v>
      </c>
      <c r="E42" s="4" t="s">
        <v>21</v>
      </c>
      <c r="F42" s="4" t="s">
        <v>21</v>
      </c>
      <c r="G42" s="4" t="s">
        <v>21</v>
      </c>
      <c r="H42" s="4" t="s">
        <v>21</v>
      </c>
      <c r="I42" s="4">
        <v>0</v>
      </c>
      <c r="J42" s="4">
        <v>0</v>
      </c>
      <c r="K42" s="4">
        <v>0</v>
      </c>
      <c r="L42" s="4">
        <v>0</v>
      </c>
    </row>
    <row r="43" spans="1:12" ht="29" x14ac:dyDescent="0.35">
      <c r="A43" s="21">
        <v>3</v>
      </c>
      <c r="B43" s="11">
        <v>9</v>
      </c>
      <c r="C43" s="3" t="s">
        <v>182</v>
      </c>
      <c r="E43" s="4" t="s">
        <v>21</v>
      </c>
      <c r="F43" s="4" t="s">
        <v>21</v>
      </c>
      <c r="G43" s="4" t="s">
        <v>21</v>
      </c>
      <c r="H43" s="4" t="s">
        <v>21</v>
      </c>
      <c r="I43" s="4">
        <v>0</v>
      </c>
      <c r="J43" s="4">
        <v>0</v>
      </c>
      <c r="K43" s="4">
        <v>0</v>
      </c>
      <c r="L43" s="4">
        <v>0</v>
      </c>
    </row>
    <row r="44" spans="1:12" x14ac:dyDescent="0.35">
      <c r="A44" s="21">
        <v>3</v>
      </c>
      <c r="B44" s="11">
        <v>10</v>
      </c>
      <c r="C44" s="3" t="s">
        <v>183</v>
      </c>
      <c r="E44" s="4" t="s">
        <v>21</v>
      </c>
      <c r="F44" s="4" t="s">
        <v>21</v>
      </c>
      <c r="G44" s="4" t="s">
        <v>21</v>
      </c>
      <c r="H44" s="4" t="s">
        <v>21</v>
      </c>
      <c r="I44" s="4">
        <v>0</v>
      </c>
      <c r="J44" s="4">
        <v>0</v>
      </c>
      <c r="K44" s="4">
        <v>0</v>
      </c>
      <c r="L44" s="4">
        <v>0</v>
      </c>
    </row>
    <row r="45" spans="1:12" x14ac:dyDescent="0.35">
      <c r="A45" s="21">
        <v>3</v>
      </c>
      <c r="B45" s="11">
        <v>11</v>
      </c>
      <c r="C45" s="3" t="s">
        <v>184</v>
      </c>
      <c r="E45" s="4" t="s">
        <v>21</v>
      </c>
      <c r="F45" s="4" t="s">
        <v>21</v>
      </c>
      <c r="G45" s="4" t="s">
        <v>21</v>
      </c>
      <c r="H45" s="4" t="s">
        <v>21</v>
      </c>
      <c r="I45" s="4">
        <v>2173</v>
      </c>
      <c r="J45" s="4">
        <v>2173</v>
      </c>
      <c r="K45" s="4">
        <v>1567</v>
      </c>
      <c r="L45" s="4">
        <v>1567</v>
      </c>
    </row>
    <row r="46" spans="1:12" ht="29" x14ac:dyDescent="0.35">
      <c r="A46" s="21">
        <v>3</v>
      </c>
      <c r="B46" s="11">
        <v>12</v>
      </c>
      <c r="C46" s="3" t="s">
        <v>185</v>
      </c>
      <c r="E46" s="4" t="s">
        <v>21</v>
      </c>
      <c r="F46" s="4" t="s">
        <v>21</v>
      </c>
      <c r="G46" s="4" t="s">
        <v>21</v>
      </c>
      <c r="H46" s="4" t="s">
        <v>21</v>
      </c>
      <c r="I46" s="4">
        <v>1466</v>
      </c>
      <c r="J46" s="4">
        <v>1466</v>
      </c>
      <c r="K46" s="4">
        <v>1184</v>
      </c>
      <c r="L46" s="4">
        <v>1184</v>
      </c>
    </row>
    <row r="47" spans="1:12" x14ac:dyDescent="0.35">
      <c r="A47" s="21">
        <v>3</v>
      </c>
      <c r="B47" s="11">
        <v>13</v>
      </c>
      <c r="C47" s="3" t="s">
        <v>186</v>
      </c>
      <c r="E47" s="4" t="s">
        <v>21</v>
      </c>
      <c r="F47" s="4" t="s">
        <v>21</v>
      </c>
      <c r="G47" s="4" t="s">
        <v>21</v>
      </c>
      <c r="H47" s="4" t="s">
        <v>21</v>
      </c>
      <c r="I47" s="4">
        <v>0</v>
      </c>
      <c r="J47" s="4">
        <v>0</v>
      </c>
      <c r="K47" s="4">
        <v>0</v>
      </c>
      <c r="L47" s="4">
        <v>0</v>
      </c>
    </row>
    <row r="48" spans="1:12" x14ac:dyDescent="0.35">
      <c r="A48" s="21">
        <v>3</v>
      </c>
      <c r="B48" s="11">
        <v>14</v>
      </c>
      <c r="C48" s="3" t="s">
        <v>187</v>
      </c>
      <c r="E48" s="4" t="s">
        <v>21</v>
      </c>
      <c r="F48" s="4" t="s">
        <v>21</v>
      </c>
      <c r="G48" s="4" t="s">
        <v>21</v>
      </c>
      <c r="H48" s="4" t="s">
        <v>21</v>
      </c>
      <c r="I48" s="4">
        <v>0</v>
      </c>
      <c r="J48" s="4">
        <v>0</v>
      </c>
      <c r="K48" s="4">
        <v>0</v>
      </c>
      <c r="L48" s="4">
        <v>0</v>
      </c>
    </row>
    <row r="49" spans="1:12" x14ac:dyDescent="0.35">
      <c r="A49" s="23">
        <v>3</v>
      </c>
      <c r="B49" s="22">
        <v>15</v>
      </c>
      <c r="C49" s="14" t="s">
        <v>188</v>
      </c>
      <c r="E49" s="4" t="s">
        <v>21</v>
      </c>
      <c r="F49" s="4" t="s">
        <v>21</v>
      </c>
      <c r="G49" s="4" t="s">
        <v>21</v>
      </c>
      <c r="H49" s="4" t="s">
        <v>21</v>
      </c>
      <c r="I49" s="4">
        <v>0</v>
      </c>
      <c r="J49" s="4">
        <v>0</v>
      </c>
      <c r="K49" s="4">
        <v>0</v>
      </c>
      <c r="L49" s="4">
        <v>0</v>
      </c>
    </row>
    <row r="50" spans="1:12" x14ac:dyDescent="0.35">
      <c r="A50" s="49" t="s">
        <v>111</v>
      </c>
      <c r="B50" s="50"/>
      <c r="C50" s="50"/>
      <c r="E50" s="6" t="s">
        <v>21</v>
      </c>
      <c r="F50" s="6" t="s">
        <v>21</v>
      </c>
      <c r="G50" s="6" t="s">
        <v>21</v>
      </c>
      <c r="H50" s="6" t="s">
        <v>21</v>
      </c>
      <c r="I50" s="4">
        <v>161047.10409437609</v>
      </c>
      <c r="J50" s="4">
        <v>160415.29099475918</v>
      </c>
      <c r="K50" s="4">
        <v>206132</v>
      </c>
      <c r="L50" s="4">
        <v>205883.66999999998</v>
      </c>
    </row>
    <row r="53" spans="1:12" x14ac:dyDescent="0.35">
      <c r="A53" s="5" t="s">
        <v>244</v>
      </c>
    </row>
    <row r="54" spans="1:12" ht="348" x14ac:dyDescent="0.35">
      <c r="A54" s="26" t="s">
        <v>245</v>
      </c>
    </row>
    <row r="56" spans="1:12" ht="319" x14ac:dyDescent="0.35">
      <c r="A56" s="26" t="s">
        <v>246</v>
      </c>
    </row>
  </sheetData>
  <mergeCells count="2">
    <mergeCell ref="A28:C28"/>
    <mergeCell ref="A50:C5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EE4D-0145-44B6-B5A6-54181BF212CF}">
  <dimension ref="B2:EZ53"/>
  <sheetViews>
    <sheetView showGridLines="0" zoomScale="90" zoomScaleNormal="90" workbookViewId="0">
      <selection activeCell="H6" sqref="H6"/>
    </sheetView>
  </sheetViews>
  <sheetFormatPr defaultRowHeight="14.5" x14ac:dyDescent="0.35"/>
  <cols>
    <col min="2" max="2" width="13.81640625" customWidth="1"/>
    <col min="3" max="3" width="13.1796875" customWidth="1"/>
    <col min="4" max="4" width="22.81640625" customWidth="1"/>
    <col min="5" max="5" width="25.453125" customWidth="1"/>
    <col min="6" max="6" width="29.90625" customWidth="1"/>
    <col min="7" max="7" width="18" customWidth="1"/>
  </cols>
  <sheetData>
    <row r="2" spans="2:156" x14ac:dyDescent="0.35">
      <c r="B2" s="5" t="s">
        <v>226</v>
      </c>
    </row>
    <row r="3" spans="2:156" x14ac:dyDescent="0.35">
      <c r="G3" t="s">
        <v>190</v>
      </c>
    </row>
    <row r="4" spans="2:156" x14ac:dyDescent="0.35">
      <c r="B4" s="7" t="s">
        <v>112</v>
      </c>
      <c r="C4" s="8" t="s">
        <v>113</v>
      </c>
      <c r="D4" s="9" t="s">
        <v>114</v>
      </c>
      <c r="E4" s="7" t="s">
        <v>2</v>
      </c>
      <c r="F4" s="2" t="s">
        <v>193</v>
      </c>
      <c r="G4" s="2" t="s">
        <v>115</v>
      </c>
      <c r="H4" s="2" t="s">
        <v>74</v>
      </c>
      <c r="I4" s="2" t="s">
        <v>51</v>
      </c>
      <c r="J4" s="2" t="s">
        <v>67</v>
      </c>
      <c r="K4" s="2" t="s">
        <v>102</v>
      </c>
      <c r="L4" s="2" t="s">
        <v>68</v>
      </c>
      <c r="M4" s="2" t="s">
        <v>100</v>
      </c>
      <c r="N4" s="2" t="s">
        <v>66</v>
      </c>
      <c r="O4" s="2" t="s">
        <v>116</v>
      </c>
      <c r="P4" s="2" t="s">
        <v>117</v>
      </c>
      <c r="Q4" s="2" t="s">
        <v>45</v>
      </c>
      <c r="R4" s="2" t="s">
        <v>46</v>
      </c>
      <c r="S4" s="2" t="s">
        <v>47</v>
      </c>
      <c r="T4" s="2" t="s">
        <v>55</v>
      </c>
      <c r="U4" s="2" t="s">
        <v>56</v>
      </c>
      <c r="V4" s="2" t="s">
        <v>118</v>
      </c>
      <c r="W4" s="2" t="s">
        <v>110</v>
      </c>
      <c r="X4" s="2" t="s">
        <v>119</v>
      </c>
      <c r="Y4" s="2" t="s">
        <v>49</v>
      </c>
      <c r="Z4" s="2" t="s">
        <v>8</v>
      </c>
      <c r="AA4" s="2" t="s">
        <v>61</v>
      </c>
      <c r="AB4" s="2" t="s">
        <v>120</v>
      </c>
      <c r="AC4" s="2" t="s">
        <v>37</v>
      </c>
      <c r="AD4" s="2" t="s">
        <v>35</v>
      </c>
      <c r="AE4" s="2" t="s">
        <v>121</v>
      </c>
      <c r="AF4" s="2" t="s">
        <v>122</v>
      </c>
      <c r="AG4" s="2" t="s">
        <v>40</v>
      </c>
      <c r="AH4" s="2" t="s">
        <v>123</v>
      </c>
      <c r="AI4" s="2" t="s">
        <v>48</v>
      </c>
      <c r="AJ4" s="2" t="s">
        <v>76</v>
      </c>
      <c r="AK4" s="2" t="s">
        <v>9</v>
      </c>
      <c r="AL4" s="2" t="s">
        <v>124</v>
      </c>
      <c r="AM4" s="2" t="s">
        <v>125</v>
      </c>
      <c r="AN4" s="2" t="s">
        <v>126</v>
      </c>
      <c r="AO4" s="2" t="s">
        <v>57</v>
      </c>
      <c r="AP4" s="2" t="s">
        <v>99</v>
      </c>
      <c r="AQ4" s="2" t="s">
        <v>109</v>
      </c>
      <c r="AR4" s="2" t="s">
        <v>52</v>
      </c>
      <c r="AS4" s="2" t="s">
        <v>10</v>
      </c>
      <c r="AT4" s="2" t="s">
        <v>11</v>
      </c>
      <c r="AU4" s="2" t="s">
        <v>50</v>
      </c>
      <c r="AV4" s="2" t="s">
        <v>75</v>
      </c>
      <c r="AW4" s="2" t="s">
        <v>12</v>
      </c>
      <c r="AX4" s="2" t="s">
        <v>62</v>
      </c>
      <c r="AY4" s="2" t="s">
        <v>65</v>
      </c>
      <c r="AZ4" s="2" t="s">
        <v>127</v>
      </c>
      <c r="BA4" s="2" t="s">
        <v>107</v>
      </c>
      <c r="BB4" s="2" t="s">
        <v>108</v>
      </c>
      <c r="BC4" s="2" t="s">
        <v>128</v>
      </c>
      <c r="BD4" s="2" t="s">
        <v>31</v>
      </c>
      <c r="BE4" s="2" t="s">
        <v>129</v>
      </c>
      <c r="BF4" s="2" t="s">
        <v>130</v>
      </c>
      <c r="BG4" s="2" t="s">
        <v>131</v>
      </c>
      <c r="BH4" s="2" t="s">
        <v>34</v>
      </c>
      <c r="BI4" s="2" t="s">
        <v>132</v>
      </c>
      <c r="BJ4" s="2" t="s">
        <v>133</v>
      </c>
      <c r="BK4" s="2" t="s">
        <v>134</v>
      </c>
      <c r="BL4" s="2" t="s">
        <v>135</v>
      </c>
      <c r="BM4" s="2" t="s">
        <v>136</v>
      </c>
      <c r="BN4" s="2" t="s">
        <v>137</v>
      </c>
      <c r="BO4" s="2" t="s">
        <v>38</v>
      </c>
      <c r="BP4" s="2" t="s">
        <v>39</v>
      </c>
      <c r="BQ4" s="2" t="s">
        <v>41</v>
      </c>
      <c r="BR4" s="2" t="s">
        <v>43</v>
      </c>
      <c r="BS4" s="2" t="s">
        <v>44</v>
      </c>
      <c r="BT4" s="2" t="s">
        <v>73</v>
      </c>
      <c r="BU4" s="2" t="s">
        <v>138</v>
      </c>
      <c r="BV4" s="2" t="s">
        <v>139</v>
      </c>
      <c r="BW4" s="2" t="s">
        <v>140</v>
      </c>
      <c r="BX4" s="2" t="s">
        <v>141</v>
      </c>
      <c r="BY4" s="2" t="s">
        <v>142</v>
      </c>
      <c r="BZ4" s="2" t="s">
        <v>143</v>
      </c>
      <c r="CA4" s="2" t="s">
        <v>144</v>
      </c>
      <c r="CB4" s="2" t="s">
        <v>145</v>
      </c>
      <c r="CC4" s="2" t="s">
        <v>146</v>
      </c>
      <c r="CD4" s="2" t="s">
        <v>147</v>
      </c>
      <c r="CE4" s="2" t="s">
        <v>77</v>
      </c>
      <c r="CF4" s="2" t="s">
        <v>78</v>
      </c>
      <c r="CG4" s="2" t="s">
        <v>79</v>
      </c>
      <c r="CH4" s="2" t="s">
        <v>80</v>
      </c>
      <c r="CI4" s="2" t="s">
        <v>81</v>
      </c>
      <c r="CJ4" s="2" t="s">
        <v>82</v>
      </c>
      <c r="CK4" s="2" t="s">
        <v>83</v>
      </c>
      <c r="CL4" s="2" t="s">
        <v>84</v>
      </c>
      <c r="CM4" s="2" t="s">
        <v>22</v>
      </c>
      <c r="CN4" s="2" t="s">
        <v>85</v>
      </c>
      <c r="CO4" s="2" t="s">
        <v>86</v>
      </c>
      <c r="CP4" s="2" t="s">
        <v>87</v>
      </c>
      <c r="CQ4" s="2" t="s">
        <v>88</v>
      </c>
      <c r="CR4" s="2" t="s">
        <v>89</v>
      </c>
      <c r="CS4" s="2" t="s">
        <v>23</v>
      </c>
      <c r="CT4" s="2" t="s">
        <v>90</v>
      </c>
      <c r="CU4" s="2" t="s">
        <v>91</v>
      </c>
      <c r="CV4" s="2" t="s">
        <v>92</v>
      </c>
      <c r="CW4" s="2" t="s">
        <v>13</v>
      </c>
      <c r="CX4" s="2" t="s">
        <v>14</v>
      </c>
      <c r="CY4" s="2" t="s">
        <v>3</v>
      </c>
      <c r="CZ4" s="2" t="s">
        <v>4</v>
      </c>
      <c r="DA4" s="2" t="s">
        <v>93</v>
      </c>
      <c r="DB4" s="2" t="s">
        <v>94</v>
      </c>
      <c r="DC4" s="2" t="s">
        <v>95</v>
      </c>
      <c r="DD4" s="2" t="s">
        <v>96</v>
      </c>
      <c r="DE4" s="2" t="s">
        <v>97</v>
      </c>
      <c r="DF4" s="2" t="s">
        <v>98</v>
      </c>
      <c r="DG4" s="2" t="s">
        <v>5</v>
      </c>
      <c r="DH4" s="2" t="s">
        <v>6</v>
      </c>
      <c r="DI4" s="2" t="s">
        <v>15</v>
      </c>
      <c r="DJ4" s="2" t="s">
        <v>148</v>
      </c>
      <c r="DK4" s="2" t="s">
        <v>149</v>
      </c>
      <c r="DL4" s="2" t="s">
        <v>150</v>
      </c>
      <c r="DM4" s="2" t="s">
        <v>59</v>
      </c>
      <c r="DN4" s="2" t="s">
        <v>60</v>
      </c>
      <c r="DO4" s="2" t="s">
        <v>63</v>
      </c>
      <c r="DP4" s="2" t="s">
        <v>64</v>
      </c>
      <c r="DQ4" s="2" t="s">
        <v>71</v>
      </c>
      <c r="DR4" s="2" t="s">
        <v>16</v>
      </c>
      <c r="DS4" s="2" t="s">
        <v>17</v>
      </c>
      <c r="DT4" s="2" t="s">
        <v>18</v>
      </c>
      <c r="DU4" s="2" t="s">
        <v>32</v>
      </c>
      <c r="DV4" s="2" t="s">
        <v>33</v>
      </c>
      <c r="DW4" s="2" t="s">
        <v>151</v>
      </c>
      <c r="DX4" s="2" t="s">
        <v>152</v>
      </c>
      <c r="DY4" s="2" t="s">
        <v>153</v>
      </c>
      <c r="DZ4" s="2" t="s">
        <v>154</v>
      </c>
      <c r="EA4" s="2" t="s">
        <v>155</v>
      </c>
      <c r="EB4" s="2" t="s">
        <v>156</v>
      </c>
      <c r="EC4" s="2" t="s">
        <v>157</v>
      </c>
      <c r="ED4" s="2" t="s">
        <v>158</v>
      </c>
      <c r="EE4" s="2" t="s">
        <v>36</v>
      </c>
      <c r="EF4" s="2" t="s">
        <v>72</v>
      </c>
      <c r="EG4" s="2" t="s">
        <v>7</v>
      </c>
      <c r="EH4" s="2" t="s">
        <v>42</v>
      </c>
      <c r="EI4" s="2" t="s">
        <v>159</v>
      </c>
      <c r="EJ4" s="2" t="s">
        <v>160</v>
      </c>
      <c r="EK4" s="2" t="s">
        <v>161</v>
      </c>
      <c r="EL4" s="2" t="s">
        <v>162</v>
      </c>
      <c r="EM4" s="2" t="s">
        <v>163</v>
      </c>
      <c r="EN4" s="2" t="s">
        <v>164</v>
      </c>
      <c r="EO4" s="2" t="s">
        <v>53</v>
      </c>
      <c r="EP4" s="2" t="s">
        <v>19</v>
      </c>
      <c r="EQ4" s="2" t="s">
        <v>165</v>
      </c>
      <c r="ER4" s="2" t="s">
        <v>54</v>
      </c>
      <c r="ES4" s="2" t="s">
        <v>166</v>
      </c>
      <c r="ET4" s="2" t="s">
        <v>58</v>
      </c>
      <c r="EU4" s="2" t="s">
        <v>69</v>
      </c>
      <c r="EV4" s="2" t="s">
        <v>70</v>
      </c>
      <c r="EW4" s="2" t="s">
        <v>20</v>
      </c>
      <c r="EX4" s="2" t="s">
        <v>227</v>
      </c>
      <c r="EY4" s="2" t="s">
        <v>228</v>
      </c>
      <c r="EZ4" s="2" t="s">
        <v>229</v>
      </c>
    </row>
    <row r="5" spans="2:156" x14ac:dyDescent="0.35">
      <c r="B5" s="10">
        <v>1</v>
      </c>
      <c r="C5" s="10" t="s">
        <v>167</v>
      </c>
      <c r="D5" s="10" t="s">
        <v>168</v>
      </c>
      <c r="E5" s="3" t="s">
        <v>169</v>
      </c>
      <c r="F5" s="6">
        <v>2279.6464377360157</v>
      </c>
      <c r="G5" s="4">
        <v>0</v>
      </c>
      <c r="H5" s="4">
        <v>0</v>
      </c>
      <c r="I5" s="4">
        <v>0</v>
      </c>
      <c r="J5" s="4">
        <v>25.806701091999994</v>
      </c>
      <c r="K5" s="4">
        <v>0</v>
      </c>
      <c r="L5" s="4">
        <v>175.90591548529997</v>
      </c>
      <c r="M5" s="4">
        <v>0</v>
      </c>
      <c r="N5" s="4">
        <v>0</v>
      </c>
      <c r="O5" s="4">
        <v>0</v>
      </c>
      <c r="P5" s="4">
        <v>0</v>
      </c>
      <c r="Q5" s="4">
        <v>46.336698888925952</v>
      </c>
      <c r="R5" s="4">
        <v>0</v>
      </c>
      <c r="S5" s="4">
        <v>76.030306820000007</v>
      </c>
      <c r="T5" s="4">
        <v>1.4696001992599848</v>
      </c>
      <c r="U5" s="4">
        <v>0.23063681840749059</v>
      </c>
      <c r="V5" s="4">
        <v>0</v>
      </c>
      <c r="W5" s="4">
        <v>0</v>
      </c>
      <c r="X5" s="4">
        <v>0</v>
      </c>
      <c r="Y5" s="4">
        <v>42.559856369999999</v>
      </c>
      <c r="Z5" s="4">
        <v>0</v>
      </c>
      <c r="AA5" s="4">
        <v>7.3909521700000003</v>
      </c>
      <c r="AB5" s="4">
        <v>0</v>
      </c>
      <c r="AC5" s="4">
        <v>0</v>
      </c>
      <c r="AD5" s="4">
        <v>7.9714473300000002</v>
      </c>
      <c r="AE5" s="4">
        <v>0</v>
      </c>
      <c r="AF5" s="4">
        <v>50.750080670000031</v>
      </c>
      <c r="AG5" s="4">
        <v>11.38054623</v>
      </c>
      <c r="AH5" s="4">
        <v>0</v>
      </c>
      <c r="AI5" s="4">
        <v>64.843237046666644</v>
      </c>
      <c r="AJ5" s="4">
        <v>201.55689543999989</v>
      </c>
      <c r="AK5" s="4">
        <v>14.55384377</v>
      </c>
      <c r="AL5" s="4">
        <v>0</v>
      </c>
      <c r="AM5" s="4">
        <v>0</v>
      </c>
      <c r="AN5" s="4">
        <v>0</v>
      </c>
      <c r="AO5" s="4">
        <v>11.1577661</v>
      </c>
      <c r="AP5" s="4">
        <v>1.5031316100000001</v>
      </c>
      <c r="AQ5" s="4">
        <v>0</v>
      </c>
      <c r="AR5" s="4">
        <v>4.1364233199999996</v>
      </c>
      <c r="AS5" s="4">
        <v>0</v>
      </c>
      <c r="AT5" s="4">
        <v>41.353875021599997</v>
      </c>
      <c r="AU5" s="4">
        <v>0</v>
      </c>
      <c r="AV5" s="4">
        <v>28.084639859999999</v>
      </c>
      <c r="AW5" s="4">
        <v>0</v>
      </c>
      <c r="AX5" s="4">
        <v>3.7431061100000007</v>
      </c>
      <c r="AY5" s="4">
        <v>0</v>
      </c>
      <c r="AZ5" s="4">
        <v>0</v>
      </c>
      <c r="BA5" s="4">
        <v>0</v>
      </c>
      <c r="BB5" s="4">
        <v>7.6198319999999997</v>
      </c>
      <c r="BC5" s="4">
        <v>0</v>
      </c>
      <c r="BD5" s="4">
        <v>26.693270450000004</v>
      </c>
      <c r="BE5" s="4">
        <v>0</v>
      </c>
      <c r="BF5" s="4">
        <v>0</v>
      </c>
      <c r="BG5" s="4">
        <v>0</v>
      </c>
      <c r="BH5" s="4">
        <v>22.008105360631394</v>
      </c>
      <c r="BI5" s="4">
        <v>0</v>
      </c>
      <c r="BJ5" s="4">
        <v>0</v>
      </c>
      <c r="BK5" s="4">
        <v>0</v>
      </c>
      <c r="BL5" s="4">
        <v>0</v>
      </c>
      <c r="BM5" s="4">
        <v>0</v>
      </c>
      <c r="BN5" s="4">
        <v>0</v>
      </c>
      <c r="BO5" s="4">
        <v>0</v>
      </c>
      <c r="BP5" s="4">
        <v>0</v>
      </c>
      <c r="BQ5" s="4">
        <v>4.9854103000000007</v>
      </c>
      <c r="BR5" s="4">
        <v>0</v>
      </c>
      <c r="BS5" s="4">
        <v>0.91236779000000001</v>
      </c>
      <c r="BT5" s="4">
        <v>0</v>
      </c>
      <c r="BU5" s="4">
        <v>0</v>
      </c>
      <c r="BV5" s="4">
        <v>0</v>
      </c>
      <c r="BW5" s="4">
        <v>0</v>
      </c>
      <c r="BX5" s="4">
        <v>0</v>
      </c>
      <c r="BY5" s="4">
        <v>0</v>
      </c>
      <c r="BZ5" s="4">
        <v>0</v>
      </c>
      <c r="CA5" s="4">
        <v>0</v>
      </c>
      <c r="CB5" s="4">
        <v>0</v>
      </c>
      <c r="CC5" s="4">
        <v>0</v>
      </c>
      <c r="CD5" s="4">
        <v>0</v>
      </c>
      <c r="CE5" s="4">
        <v>9.7825271399999991</v>
      </c>
      <c r="CF5" s="4">
        <v>0</v>
      </c>
      <c r="CG5" s="4">
        <v>0</v>
      </c>
      <c r="CH5" s="4">
        <v>0</v>
      </c>
      <c r="CI5" s="4">
        <v>55.849459489999994</v>
      </c>
      <c r="CJ5" s="4">
        <v>34.147693499999995</v>
      </c>
      <c r="CK5" s="4">
        <v>103.7138435099999</v>
      </c>
      <c r="CL5" s="4">
        <v>5.7413865199999998</v>
      </c>
      <c r="CM5" s="4">
        <v>31.453037299999998</v>
      </c>
      <c r="CN5" s="4">
        <v>15.159629160000001</v>
      </c>
      <c r="CO5" s="4">
        <v>0</v>
      </c>
      <c r="CP5" s="4">
        <v>0</v>
      </c>
      <c r="CQ5" s="4">
        <v>2.0459855680000003</v>
      </c>
      <c r="CR5" s="4">
        <v>11.4302658117</v>
      </c>
      <c r="CS5" s="4">
        <v>38.537621049999984</v>
      </c>
      <c r="CT5" s="4">
        <v>23.835095273797201</v>
      </c>
      <c r="CU5" s="4">
        <v>1.3946235779</v>
      </c>
      <c r="CV5" s="4">
        <v>12.399257860000001</v>
      </c>
      <c r="CW5" s="4">
        <v>3.9694787000000002</v>
      </c>
      <c r="CX5" s="4">
        <v>6.9562719629000007</v>
      </c>
      <c r="CY5" s="4">
        <v>15.5026018084</v>
      </c>
      <c r="CZ5" s="4">
        <v>0</v>
      </c>
      <c r="DA5" s="4">
        <v>0</v>
      </c>
      <c r="DB5" s="4">
        <v>3.8866803500000002</v>
      </c>
      <c r="DC5" s="4">
        <v>8.0545999999999993E-2</v>
      </c>
      <c r="DD5" s="4">
        <v>6.0510550000000007</v>
      </c>
      <c r="DE5" s="4">
        <v>5.7849273654999998</v>
      </c>
      <c r="DF5" s="4">
        <v>0</v>
      </c>
      <c r="DG5" s="4">
        <v>4.0654471200000009</v>
      </c>
      <c r="DH5" s="4">
        <v>40.613291932000017</v>
      </c>
      <c r="DI5" s="4">
        <v>12.163571732799999</v>
      </c>
      <c r="DJ5" s="4">
        <v>0</v>
      </c>
      <c r="DK5" s="4">
        <v>0</v>
      </c>
      <c r="DL5" s="4">
        <v>0</v>
      </c>
      <c r="DM5" s="4">
        <v>16.774316352000003</v>
      </c>
      <c r="DN5" s="4">
        <v>6.5844000000000007E-3</v>
      </c>
      <c r="DO5" s="4">
        <v>9.7101472143000009</v>
      </c>
      <c r="DP5" s="4">
        <v>7.1483212900000002</v>
      </c>
      <c r="DQ5" s="4">
        <v>9.5661576270000008</v>
      </c>
      <c r="DR5" s="4">
        <v>18.310999837233354</v>
      </c>
      <c r="DS5" s="4">
        <v>63.813449527278493</v>
      </c>
      <c r="DT5" s="4">
        <v>28.772519662034959</v>
      </c>
      <c r="DU5" s="4">
        <v>5.9943693796252182</v>
      </c>
      <c r="DV5" s="4">
        <v>0</v>
      </c>
      <c r="DW5" s="4">
        <v>0</v>
      </c>
      <c r="DX5" s="4">
        <v>0</v>
      </c>
      <c r="DY5" s="4">
        <v>0</v>
      </c>
      <c r="DZ5" s="4">
        <v>0</v>
      </c>
      <c r="EA5" s="4">
        <v>0</v>
      </c>
      <c r="EB5" s="4">
        <v>0</v>
      </c>
      <c r="EC5" s="4">
        <v>0</v>
      </c>
      <c r="ED5" s="4">
        <v>0</v>
      </c>
      <c r="EE5" s="4">
        <v>0.1558622999333393</v>
      </c>
      <c r="EF5" s="4">
        <v>0.14248281599257329</v>
      </c>
      <c r="EG5" s="4">
        <v>42.710661100898491</v>
      </c>
      <c r="EH5" s="4">
        <v>530.59684187149276</v>
      </c>
      <c r="EI5" s="4">
        <v>0</v>
      </c>
      <c r="EJ5" s="4">
        <v>0</v>
      </c>
      <c r="EK5" s="4">
        <v>0</v>
      </c>
      <c r="EL5" s="4">
        <v>0</v>
      </c>
      <c r="EM5" s="4">
        <v>0</v>
      </c>
      <c r="EN5" s="4">
        <v>0</v>
      </c>
      <c r="EO5" s="4">
        <v>59.47302720182185</v>
      </c>
      <c r="EP5" s="4">
        <v>0</v>
      </c>
      <c r="EQ5" s="4">
        <v>0</v>
      </c>
      <c r="ER5" s="4">
        <v>55.401292181131481</v>
      </c>
      <c r="ES5" s="4">
        <v>0</v>
      </c>
      <c r="ET5" s="4">
        <v>23.281760081999998</v>
      </c>
      <c r="EU5" s="4">
        <v>35.683393021474487</v>
      </c>
      <c r="EV5" s="4">
        <v>16.779743514006014</v>
      </c>
      <c r="EW5" s="4">
        <v>28.806906817905563</v>
      </c>
      <c r="EX5" s="4">
        <v>2.9686575540999995</v>
      </c>
      <c r="EY5" s="4">
        <v>0</v>
      </c>
      <c r="EZ5" s="4">
        <v>0</v>
      </c>
    </row>
    <row r="6" spans="2:156" x14ac:dyDescent="0.35">
      <c r="B6" s="10">
        <v>2</v>
      </c>
      <c r="C6" s="10" t="s">
        <v>167</v>
      </c>
      <c r="D6" s="10" t="s">
        <v>168</v>
      </c>
      <c r="E6" s="3" t="s">
        <v>170</v>
      </c>
      <c r="F6" s="6">
        <v>3419.3458771489268</v>
      </c>
      <c r="G6" s="4">
        <v>0</v>
      </c>
      <c r="H6" s="4">
        <v>0</v>
      </c>
      <c r="I6" s="4">
        <v>82.748919951000005</v>
      </c>
      <c r="J6" s="4">
        <v>21.247164000000005</v>
      </c>
      <c r="K6" s="4">
        <v>0</v>
      </c>
      <c r="L6" s="4">
        <v>39.518138520000015</v>
      </c>
      <c r="M6" s="4">
        <v>3.5940780000000006</v>
      </c>
      <c r="N6" s="4">
        <v>0</v>
      </c>
      <c r="O6" s="4">
        <v>0</v>
      </c>
      <c r="P6" s="4">
        <v>0</v>
      </c>
      <c r="Q6" s="4">
        <v>10.463418459</v>
      </c>
      <c r="R6" s="4">
        <v>0</v>
      </c>
      <c r="S6" s="4">
        <v>18.042299272799998</v>
      </c>
      <c r="T6" s="4">
        <v>5.4453685187999996</v>
      </c>
      <c r="U6" s="4">
        <v>7.3970684999999996</v>
      </c>
      <c r="V6" s="4">
        <v>0</v>
      </c>
      <c r="W6" s="4">
        <v>0</v>
      </c>
      <c r="X6" s="4">
        <v>0</v>
      </c>
      <c r="Y6" s="4">
        <v>37.550504169756032</v>
      </c>
      <c r="Z6" s="4">
        <v>0</v>
      </c>
      <c r="AA6" s="4">
        <v>89.982221323028881</v>
      </c>
      <c r="AB6" s="4">
        <v>0</v>
      </c>
      <c r="AC6" s="4">
        <v>0</v>
      </c>
      <c r="AD6" s="4">
        <v>15.549906690472255</v>
      </c>
      <c r="AE6" s="4">
        <v>0</v>
      </c>
      <c r="AF6" s="4">
        <v>31.360778250171183</v>
      </c>
      <c r="AG6" s="4">
        <v>13.723512557429286</v>
      </c>
      <c r="AH6" s="4">
        <v>0</v>
      </c>
      <c r="AI6" s="4">
        <v>49.014704457406481</v>
      </c>
      <c r="AJ6" s="4">
        <v>35.981300590888722</v>
      </c>
      <c r="AK6" s="4">
        <v>4.6702774271726604</v>
      </c>
      <c r="AL6" s="4">
        <v>0</v>
      </c>
      <c r="AM6" s="4">
        <v>0</v>
      </c>
      <c r="AN6" s="4">
        <v>0</v>
      </c>
      <c r="AO6" s="4">
        <v>2.6228952573283815</v>
      </c>
      <c r="AP6" s="4">
        <v>0.58796804950002435</v>
      </c>
      <c r="AQ6" s="4">
        <v>0</v>
      </c>
      <c r="AR6" s="4">
        <v>1.5783299999999998</v>
      </c>
      <c r="AS6" s="4">
        <v>0</v>
      </c>
      <c r="AT6" s="4">
        <v>258.20286456723937</v>
      </c>
      <c r="AU6" s="4">
        <v>0.43670194859300909</v>
      </c>
      <c r="AV6" s="4">
        <v>3.1972041411365679</v>
      </c>
      <c r="AW6" s="4">
        <v>0</v>
      </c>
      <c r="AX6" s="4">
        <v>0.31476657638430483</v>
      </c>
      <c r="AY6" s="4">
        <v>0</v>
      </c>
      <c r="AZ6" s="4">
        <v>0</v>
      </c>
      <c r="BA6" s="4">
        <v>1.6992072</v>
      </c>
      <c r="BB6" s="4">
        <v>23.187357317821267</v>
      </c>
      <c r="BC6" s="4">
        <v>0</v>
      </c>
      <c r="BD6" s="4">
        <v>30.464342764848602</v>
      </c>
      <c r="BE6" s="4">
        <v>0</v>
      </c>
      <c r="BF6" s="4">
        <v>0</v>
      </c>
      <c r="BG6" s="4">
        <v>0</v>
      </c>
      <c r="BH6" s="4">
        <v>68.546083590644372</v>
      </c>
      <c r="BI6" s="4">
        <v>0</v>
      </c>
      <c r="BJ6" s="4">
        <v>0</v>
      </c>
      <c r="BK6" s="4">
        <v>0</v>
      </c>
      <c r="BL6" s="4">
        <v>0</v>
      </c>
      <c r="BM6" s="4">
        <v>0</v>
      </c>
      <c r="BN6" s="4">
        <v>0</v>
      </c>
      <c r="BO6" s="4">
        <v>0</v>
      </c>
      <c r="BP6" s="4">
        <v>0</v>
      </c>
      <c r="BQ6" s="4">
        <v>127.43111138946156</v>
      </c>
      <c r="BR6" s="4">
        <v>0</v>
      </c>
      <c r="BS6" s="4">
        <v>3.8361542407900524</v>
      </c>
      <c r="BT6" s="4">
        <v>17.159708643383368</v>
      </c>
      <c r="BU6" s="4">
        <v>0</v>
      </c>
      <c r="BV6" s="4">
        <v>0</v>
      </c>
      <c r="BW6" s="4">
        <v>0</v>
      </c>
      <c r="BX6" s="4">
        <v>0</v>
      </c>
      <c r="BY6" s="4">
        <v>0</v>
      </c>
      <c r="BZ6" s="4">
        <v>0</v>
      </c>
      <c r="CA6" s="4">
        <v>0</v>
      </c>
      <c r="CB6" s="4">
        <v>0</v>
      </c>
      <c r="CC6" s="4">
        <v>0</v>
      </c>
      <c r="CD6" s="4">
        <v>0</v>
      </c>
      <c r="CE6" s="4">
        <v>0</v>
      </c>
      <c r="CF6" s="4">
        <v>0</v>
      </c>
      <c r="CG6" s="4">
        <v>0</v>
      </c>
      <c r="CH6" s="4">
        <v>0</v>
      </c>
      <c r="CI6" s="4">
        <v>13.14213068355021</v>
      </c>
      <c r="CJ6" s="4">
        <v>11.172026786949182</v>
      </c>
      <c r="CK6" s="4">
        <v>18.527964307044872</v>
      </c>
      <c r="CL6" s="4">
        <v>3.674053643182174</v>
      </c>
      <c r="CM6" s="4">
        <v>15.742265440052373</v>
      </c>
      <c r="CN6" s="4">
        <v>3.7117482951477774</v>
      </c>
      <c r="CO6" s="4">
        <v>0</v>
      </c>
      <c r="CP6" s="4">
        <v>0</v>
      </c>
      <c r="CQ6" s="4">
        <v>14.261551151660097</v>
      </c>
      <c r="CR6" s="4">
        <v>8.5153791828324348</v>
      </c>
      <c r="CS6" s="4">
        <v>4.0319489245186517</v>
      </c>
      <c r="CT6" s="4">
        <v>41.489790696372097</v>
      </c>
      <c r="CU6" s="4">
        <v>22.205820429801918</v>
      </c>
      <c r="CV6" s="4">
        <v>18.066943759934176</v>
      </c>
      <c r="CW6" s="4">
        <v>3.7495788886712167</v>
      </c>
      <c r="CX6" s="4">
        <v>3.4566675560247448</v>
      </c>
      <c r="CY6" s="4">
        <v>3.6611003547426808</v>
      </c>
      <c r="CZ6" s="4">
        <v>8.2893277923741024</v>
      </c>
      <c r="DA6" s="4">
        <v>0</v>
      </c>
      <c r="DB6" s="4">
        <v>6.0801038381398769</v>
      </c>
      <c r="DC6" s="4">
        <v>5.9175360125909204</v>
      </c>
      <c r="DD6" s="4">
        <v>2.5911626136850048</v>
      </c>
      <c r="DE6" s="4">
        <v>4.1758139331539894</v>
      </c>
      <c r="DF6" s="4">
        <v>3.4230472667497067</v>
      </c>
      <c r="DG6" s="4">
        <v>2.5911626136850048</v>
      </c>
      <c r="DH6" s="4">
        <v>38.45126383607213</v>
      </c>
      <c r="DI6" s="4">
        <v>0.87223987551937709</v>
      </c>
      <c r="DJ6" s="4">
        <v>0</v>
      </c>
      <c r="DK6" s="4">
        <v>0</v>
      </c>
      <c r="DL6" s="4">
        <v>0</v>
      </c>
      <c r="DM6" s="4">
        <v>40.410725450716868</v>
      </c>
      <c r="DN6" s="4">
        <v>5.8058697329401205</v>
      </c>
      <c r="DO6" s="4">
        <v>4.1864173746651794</v>
      </c>
      <c r="DP6" s="4">
        <v>13.943292544544029</v>
      </c>
      <c r="DQ6" s="4">
        <v>27.181631010596867</v>
      </c>
      <c r="DR6" s="4">
        <v>10.58466549714781</v>
      </c>
      <c r="DS6" s="4">
        <v>68.652686578912252</v>
      </c>
      <c r="DT6" s="4">
        <v>25.41346479879261</v>
      </c>
      <c r="DU6" s="4">
        <v>14.814486501258704</v>
      </c>
      <c r="DV6" s="4">
        <v>0</v>
      </c>
      <c r="DW6" s="4">
        <v>0</v>
      </c>
      <c r="DX6" s="4">
        <v>0</v>
      </c>
      <c r="DY6" s="4">
        <v>0</v>
      </c>
      <c r="DZ6" s="4">
        <v>0</v>
      </c>
      <c r="EA6" s="4">
        <v>0</v>
      </c>
      <c r="EB6" s="4">
        <v>0</v>
      </c>
      <c r="EC6" s="4">
        <v>0</v>
      </c>
      <c r="ED6" s="4">
        <v>0</v>
      </c>
      <c r="EE6" s="4">
        <v>2.9510964309931973</v>
      </c>
      <c r="EF6" s="4">
        <v>7.6743586090370357</v>
      </c>
      <c r="EG6" s="4">
        <v>16.694828166521024</v>
      </c>
      <c r="EH6" s="4">
        <v>1396.8837013265545</v>
      </c>
      <c r="EI6" s="4">
        <v>0</v>
      </c>
      <c r="EJ6" s="4">
        <v>0</v>
      </c>
      <c r="EK6" s="4">
        <v>0</v>
      </c>
      <c r="EL6" s="4">
        <v>0</v>
      </c>
      <c r="EM6" s="4">
        <v>0</v>
      </c>
      <c r="EN6" s="4">
        <v>0</v>
      </c>
      <c r="EO6" s="4">
        <v>87.208839020318322</v>
      </c>
      <c r="EP6" s="4">
        <v>0</v>
      </c>
      <c r="EQ6" s="4">
        <v>0</v>
      </c>
      <c r="ER6" s="4">
        <v>181.30726354385089</v>
      </c>
      <c r="ES6" s="4">
        <v>0</v>
      </c>
      <c r="ET6" s="4">
        <v>24.920080965298936</v>
      </c>
      <c r="EU6" s="4">
        <v>166.89445204123538</v>
      </c>
      <c r="EV6" s="4">
        <v>33.490128361739977</v>
      </c>
      <c r="EW6" s="4">
        <v>24.766915248534563</v>
      </c>
      <c r="EX6" s="4">
        <v>2.2059896877576515</v>
      </c>
      <c r="EY6" s="4">
        <v>0</v>
      </c>
      <c r="EZ6" s="4">
        <v>0</v>
      </c>
    </row>
    <row r="7" spans="2:156" x14ac:dyDescent="0.35">
      <c r="B7" s="10">
        <v>2</v>
      </c>
      <c r="C7" s="10"/>
      <c r="D7" s="10" t="s">
        <v>168</v>
      </c>
      <c r="E7" s="3" t="s">
        <v>171</v>
      </c>
      <c r="F7" s="6">
        <v>2811.2124987278689</v>
      </c>
      <c r="G7" s="4">
        <v>0</v>
      </c>
      <c r="H7" s="4">
        <v>0</v>
      </c>
      <c r="I7" s="4">
        <v>82.748919951000005</v>
      </c>
      <c r="J7" s="4">
        <v>21.247164000000005</v>
      </c>
      <c r="K7" s="4">
        <v>0</v>
      </c>
      <c r="L7" s="4">
        <v>39.518138520000015</v>
      </c>
      <c r="M7" s="4">
        <v>3.5940780000000006</v>
      </c>
      <c r="N7" s="4">
        <v>0</v>
      </c>
      <c r="O7" s="4">
        <v>0</v>
      </c>
      <c r="P7" s="4">
        <v>0</v>
      </c>
      <c r="Q7" s="4">
        <v>10.463418459</v>
      </c>
      <c r="R7" s="4">
        <v>0</v>
      </c>
      <c r="S7" s="4">
        <v>18.042299272799998</v>
      </c>
      <c r="T7" s="4">
        <v>5.4453685187999996</v>
      </c>
      <c r="U7" s="4">
        <v>7.3970684999999996</v>
      </c>
      <c r="V7" s="4">
        <v>0</v>
      </c>
      <c r="W7" s="4">
        <v>0</v>
      </c>
      <c r="X7" s="4">
        <v>0</v>
      </c>
      <c r="Y7" s="4">
        <v>19.209576881847401</v>
      </c>
      <c r="Z7" s="4">
        <v>0</v>
      </c>
      <c r="AA7" s="4">
        <v>48.075631588235964</v>
      </c>
      <c r="AB7" s="4">
        <v>0</v>
      </c>
      <c r="AC7" s="4">
        <v>0</v>
      </c>
      <c r="AD7" s="4">
        <v>7.922880000000001</v>
      </c>
      <c r="AE7" s="4">
        <v>0</v>
      </c>
      <c r="AF7" s="4">
        <v>15.978725000000001</v>
      </c>
      <c r="AG7" s="4">
        <v>6.9923084000000006</v>
      </c>
      <c r="AH7" s="4">
        <v>0</v>
      </c>
      <c r="AI7" s="4">
        <v>31.9176723</v>
      </c>
      <c r="AJ7" s="4">
        <v>23.430506699999999</v>
      </c>
      <c r="AK7" s="4">
        <v>2.9184240000000004</v>
      </c>
      <c r="AL7" s="4">
        <v>0</v>
      </c>
      <c r="AM7" s="4">
        <v>0</v>
      </c>
      <c r="AN7" s="4">
        <v>0</v>
      </c>
      <c r="AO7" s="4">
        <v>1.3982086500000002</v>
      </c>
      <c r="AP7" s="4">
        <v>0.92502709999999999</v>
      </c>
      <c r="AQ7" s="4">
        <v>0</v>
      </c>
      <c r="AR7" s="4">
        <v>1.5783299999999998</v>
      </c>
      <c r="AS7" s="4">
        <v>0</v>
      </c>
      <c r="AT7" s="4">
        <v>156.50451556800004</v>
      </c>
      <c r="AU7" s="4">
        <v>7.2319999999999995E-2</v>
      </c>
      <c r="AV7" s="4">
        <v>0.52947279999999997</v>
      </c>
      <c r="AW7" s="4">
        <v>0</v>
      </c>
      <c r="AX7" s="4">
        <v>5.2126899999999997E-2</v>
      </c>
      <c r="AY7" s="4">
        <v>0</v>
      </c>
      <c r="AZ7" s="4">
        <v>0</v>
      </c>
      <c r="BA7" s="4">
        <v>1.6992072</v>
      </c>
      <c r="BB7" s="4">
        <v>12.360677950000001</v>
      </c>
      <c r="BC7" s="4">
        <v>0</v>
      </c>
      <c r="BD7" s="4">
        <v>16.405334749999998</v>
      </c>
      <c r="BE7" s="4">
        <v>0</v>
      </c>
      <c r="BF7" s="4">
        <v>0</v>
      </c>
      <c r="BG7" s="4">
        <v>0</v>
      </c>
      <c r="BH7" s="4">
        <v>36.540432460000005</v>
      </c>
      <c r="BI7" s="4">
        <v>0</v>
      </c>
      <c r="BJ7" s="4">
        <v>0</v>
      </c>
      <c r="BK7" s="4">
        <v>0</v>
      </c>
      <c r="BL7" s="4">
        <v>0</v>
      </c>
      <c r="BM7" s="4">
        <v>0</v>
      </c>
      <c r="BN7" s="4">
        <v>0</v>
      </c>
      <c r="BO7" s="4">
        <v>0</v>
      </c>
      <c r="BP7" s="4">
        <v>0</v>
      </c>
      <c r="BQ7" s="4">
        <v>67.930765335000004</v>
      </c>
      <c r="BR7" s="4">
        <v>0</v>
      </c>
      <c r="BS7" s="4">
        <v>2.0449707350000002</v>
      </c>
      <c r="BT7" s="4">
        <v>9.147469000000001</v>
      </c>
      <c r="BU7" s="4">
        <v>0</v>
      </c>
      <c r="BV7" s="4">
        <v>0</v>
      </c>
      <c r="BW7" s="4">
        <v>0</v>
      </c>
      <c r="BX7" s="4">
        <v>0</v>
      </c>
      <c r="BY7" s="4">
        <v>0</v>
      </c>
      <c r="BZ7" s="4">
        <v>0</v>
      </c>
      <c r="CA7" s="4">
        <v>0</v>
      </c>
      <c r="CB7" s="4">
        <v>0</v>
      </c>
      <c r="CC7" s="4">
        <v>0</v>
      </c>
      <c r="CD7" s="4">
        <v>0</v>
      </c>
      <c r="CE7" s="4">
        <v>0</v>
      </c>
      <c r="CF7" s="4">
        <v>0</v>
      </c>
      <c r="CG7" s="4">
        <v>0</v>
      </c>
      <c r="CH7" s="4">
        <v>0</v>
      </c>
      <c r="CI7" s="4">
        <v>7.0057852100000018</v>
      </c>
      <c r="CJ7" s="4">
        <v>5.955565495000001</v>
      </c>
      <c r="CK7" s="4">
        <v>9.8768564580000007</v>
      </c>
      <c r="CL7" s="4">
        <v>1.9585584174999999</v>
      </c>
      <c r="CM7" s="4">
        <v>8.3918607299999994</v>
      </c>
      <c r="CN7" s="4">
        <v>1.9786526200000001</v>
      </c>
      <c r="CO7" s="4">
        <v>0</v>
      </c>
      <c r="CP7" s="4">
        <v>0</v>
      </c>
      <c r="CQ7" s="4">
        <v>7.6025240149999949</v>
      </c>
      <c r="CR7" s="4">
        <v>4.5393642000000005</v>
      </c>
      <c r="CS7" s="4">
        <v>2.1493446400000007</v>
      </c>
      <c r="CT7" s="4">
        <v>22.117308755000003</v>
      </c>
      <c r="CU7" s="4">
        <v>11.837441894999991</v>
      </c>
      <c r="CV7" s="4">
        <v>9.6310963899999997</v>
      </c>
      <c r="CW7" s="4">
        <v>1.9988192900000001</v>
      </c>
      <c r="CX7" s="4">
        <v>1.8426746030000003</v>
      </c>
      <c r="CY7" s="4">
        <v>1.9516533000000003</v>
      </c>
      <c r="CZ7" s="4">
        <v>4.4188611</v>
      </c>
      <c r="DA7" s="4">
        <v>0</v>
      </c>
      <c r="DB7" s="4">
        <v>4.5661551750000005</v>
      </c>
      <c r="DC7" s="4">
        <v>3.1545102749999954</v>
      </c>
      <c r="DD7" s="4">
        <v>1.3812926650000006</v>
      </c>
      <c r="DE7" s="4">
        <v>2.2260359599999999</v>
      </c>
      <c r="DF7" s="4">
        <v>1.8247523550000013</v>
      </c>
      <c r="DG7" s="4">
        <v>1.3812926650000006</v>
      </c>
      <c r="DH7" s="4">
        <v>20.497535900000003</v>
      </c>
      <c r="DI7" s="4">
        <v>0.46497218500000065</v>
      </c>
      <c r="DJ7" s="4">
        <v>0</v>
      </c>
      <c r="DK7" s="4">
        <v>0</v>
      </c>
      <c r="DL7" s="4">
        <v>0</v>
      </c>
      <c r="DM7" s="4">
        <v>21.542082444999998</v>
      </c>
      <c r="DN7" s="4">
        <v>3.0949834000000003</v>
      </c>
      <c r="DO7" s="4">
        <v>2.2316884250000006</v>
      </c>
      <c r="DP7" s="4">
        <v>7.4328672450000006</v>
      </c>
      <c r="DQ7" s="4">
        <v>14.489938740000001</v>
      </c>
      <c r="DR7" s="4">
        <v>10.157873710476748</v>
      </c>
      <c r="DS7" s="4">
        <v>69.155729388346089</v>
      </c>
      <c r="DT7" s="4">
        <v>24.388750503390312</v>
      </c>
      <c r="DU7" s="4">
        <v>13.319240430081276</v>
      </c>
      <c r="DV7" s="4">
        <v>0</v>
      </c>
      <c r="DW7" s="4">
        <v>0</v>
      </c>
      <c r="DX7" s="4">
        <v>0</v>
      </c>
      <c r="DY7" s="4">
        <v>0</v>
      </c>
      <c r="DZ7" s="4">
        <v>0</v>
      </c>
      <c r="EA7" s="4">
        <v>0</v>
      </c>
      <c r="EB7" s="4">
        <v>0</v>
      </c>
      <c r="EC7" s="4">
        <v>0</v>
      </c>
      <c r="ED7" s="4">
        <v>0</v>
      </c>
      <c r="EE7" s="4">
        <v>2.8954447630801199</v>
      </c>
      <c r="EF7" s="4">
        <v>7.529635836758036</v>
      </c>
      <c r="EG7" s="4">
        <v>16.379997711225997</v>
      </c>
      <c r="EH7" s="4">
        <v>1338.3143737701544</v>
      </c>
      <c r="EI7" s="4">
        <v>0</v>
      </c>
      <c r="EJ7" s="4">
        <v>0</v>
      </c>
      <c r="EK7" s="4">
        <v>0</v>
      </c>
      <c r="EL7" s="4">
        <v>0</v>
      </c>
      <c r="EM7" s="4">
        <v>0</v>
      </c>
      <c r="EN7" s="4">
        <v>0</v>
      </c>
      <c r="EO7" s="4">
        <v>82.766135186884711</v>
      </c>
      <c r="EP7" s="4">
        <v>0</v>
      </c>
      <c r="EQ7" s="4">
        <v>0</v>
      </c>
      <c r="ER7" s="4">
        <v>180.48855332180034</v>
      </c>
      <c r="ES7" s="4">
        <v>0</v>
      </c>
      <c r="ET7" s="4">
        <v>23.08598492258924</v>
      </c>
      <c r="EU7" s="4">
        <v>146.11416070377965</v>
      </c>
      <c r="EV7" s="4">
        <v>31.505278393067474</v>
      </c>
      <c r="EW7" s="4">
        <v>24.299861672051158</v>
      </c>
      <c r="EX7" s="4">
        <v>1.1759653210000001</v>
      </c>
      <c r="EY7" s="4">
        <v>0</v>
      </c>
      <c r="EZ7" s="4">
        <v>0</v>
      </c>
    </row>
    <row r="8" spans="2:156" x14ac:dyDescent="0.35">
      <c r="B8" s="11">
        <v>3</v>
      </c>
      <c r="C8" s="11">
        <v>1</v>
      </c>
      <c r="D8" s="12" t="s">
        <v>172</v>
      </c>
      <c r="E8" s="3" t="s">
        <v>173</v>
      </c>
      <c r="F8" s="6">
        <v>79412.20230848121</v>
      </c>
      <c r="G8" s="4">
        <v>0.8714175955063419</v>
      </c>
      <c r="H8" s="4">
        <v>856.14423961146633</v>
      </c>
      <c r="I8" s="4">
        <v>3821.8502479243543</v>
      </c>
      <c r="J8" s="4">
        <v>579.21648744811114</v>
      </c>
      <c r="K8" s="4">
        <v>-10.316326254021961</v>
      </c>
      <c r="L8" s="4">
        <v>1300.3478416392709</v>
      </c>
      <c r="M8" s="4">
        <v>1.0266620595234923</v>
      </c>
      <c r="N8" s="4">
        <v>65.285234928148498</v>
      </c>
      <c r="O8" s="4">
        <v>0</v>
      </c>
      <c r="P8" s="4">
        <v>0</v>
      </c>
      <c r="Q8" s="4">
        <v>3997.1941298080501</v>
      </c>
      <c r="R8" s="4">
        <v>0</v>
      </c>
      <c r="S8" s="4">
        <v>6118.2300195688558</v>
      </c>
      <c r="T8" s="4">
        <v>488.13135490316159</v>
      </c>
      <c r="U8" s="4">
        <v>624.93158871423111</v>
      </c>
      <c r="V8" s="4">
        <v>8.2617940327589887E-2</v>
      </c>
      <c r="W8" s="4">
        <v>5.6895635381339655</v>
      </c>
      <c r="X8" s="4">
        <v>-57.844454876663548</v>
      </c>
      <c r="Y8" s="4">
        <v>1896.4304616932204</v>
      </c>
      <c r="Z8" s="4">
        <v>0</v>
      </c>
      <c r="AA8" s="4">
        <v>428.88078899027215</v>
      </c>
      <c r="AB8" s="4">
        <v>0.9471586651011652</v>
      </c>
      <c r="AC8" s="4">
        <v>44.064847228304352</v>
      </c>
      <c r="AD8" s="4">
        <v>223.29358051075437</v>
      </c>
      <c r="AE8" s="4">
        <v>137.40119308521531</v>
      </c>
      <c r="AF8" s="4">
        <v>1081.6190293889338</v>
      </c>
      <c r="AG8" s="4">
        <v>1013.8449280843836</v>
      </c>
      <c r="AH8" s="4">
        <v>2.0094466208856447</v>
      </c>
      <c r="AI8" s="4">
        <v>2512.0444395157679</v>
      </c>
      <c r="AJ8" s="4">
        <v>3261.5602521149954</v>
      </c>
      <c r="AK8" s="4">
        <v>533.77044978385481</v>
      </c>
      <c r="AL8" s="4">
        <v>116.19231804937104</v>
      </c>
      <c r="AM8" s="4">
        <v>0</v>
      </c>
      <c r="AN8" s="4">
        <v>1.4749545917603706</v>
      </c>
      <c r="AO8" s="4">
        <v>55.35916631666796</v>
      </c>
      <c r="AP8" s="4">
        <v>37.597376725463292</v>
      </c>
      <c r="AQ8" s="4">
        <v>187.01236933215236</v>
      </c>
      <c r="AR8" s="4">
        <v>527.69623745871479</v>
      </c>
      <c r="AS8" s="4">
        <v>96.077573247813561</v>
      </c>
      <c r="AT8" s="4">
        <v>2183.6991000949083</v>
      </c>
      <c r="AU8" s="4">
        <v>160.05744172805635</v>
      </c>
      <c r="AV8" s="4">
        <v>1439.2632669121433</v>
      </c>
      <c r="AW8" s="4">
        <v>0</v>
      </c>
      <c r="AX8" s="4">
        <v>260.9503617224733</v>
      </c>
      <c r="AY8" s="4">
        <v>126.97579088726958</v>
      </c>
      <c r="AZ8" s="4">
        <v>0</v>
      </c>
      <c r="BA8" s="4">
        <v>1.8249574347034843</v>
      </c>
      <c r="BB8" s="4">
        <v>815.84053669685204</v>
      </c>
      <c r="BC8" s="4">
        <v>0.51109163825737358</v>
      </c>
      <c r="BD8" s="4">
        <v>1115.5841714672742</v>
      </c>
      <c r="BE8" s="4">
        <v>-20.528103970629239</v>
      </c>
      <c r="BF8" s="4">
        <v>14.795068824676965</v>
      </c>
      <c r="BG8" s="4">
        <v>67.258309948737832</v>
      </c>
      <c r="BH8" s="4">
        <v>1507.5798353644293</v>
      </c>
      <c r="BI8" s="4">
        <v>2.7195855378798326</v>
      </c>
      <c r="BJ8" s="4">
        <v>2.9037273828650605</v>
      </c>
      <c r="BK8" s="4">
        <v>0.23713409473037547</v>
      </c>
      <c r="BL8" s="4">
        <v>1.7489346586812509</v>
      </c>
      <c r="BM8" s="4">
        <v>1.3062513362635904</v>
      </c>
      <c r="BN8" s="4">
        <v>390.03145027766504</v>
      </c>
      <c r="BO8" s="4">
        <v>0</v>
      </c>
      <c r="BP8" s="4">
        <v>0</v>
      </c>
      <c r="BQ8" s="4">
        <v>456.32755949765703</v>
      </c>
      <c r="BR8" s="4">
        <v>1080.5179101303986</v>
      </c>
      <c r="BS8" s="4">
        <v>420.1186771289133</v>
      </c>
      <c r="BT8" s="4">
        <v>824.76991939167999</v>
      </c>
      <c r="BU8" s="4">
        <v>0</v>
      </c>
      <c r="BV8" s="4">
        <v>5.8196984333974411E-2</v>
      </c>
      <c r="BW8" s="4">
        <v>1.4047579460337701E-2</v>
      </c>
      <c r="BX8" s="4">
        <v>0.63661388522644891</v>
      </c>
      <c r="BY8" s="4">
        <v>0</v>
      </c>
      <c r="BZ8" s="4">
        <v>2464.2223287979227</v>
      </c>
      <c r="CA8" s="4">
        <v>434.5338955621703</v>
      </c>
      <c r="CB8" s="4">
        <v>-6.7118907129704821</v>
      </c>
      <c r="CC8" s="4">
        <v>0.14039964282587769</v>
      </c>
      <c r="CD8" s="4">
        <v>-177.68308608802968</v>
      </c>
      <c r="CE8" s="4">
        <v>349.52310872731317</v>
      </c>
      <c r="CF8" s="4">
        <v>0</v>
      </c>
      <c r="CG8" s="4">
        <v>0</v>
      </c>
      <c r="CH8" s="4">
        <v>0</v>
      </c>
      <c r="CI8" s="4">
        <v>159.91902040139647</v>
      </c>
      <c r="CJ8" s="4">
        <v>198.78936452188799</v>
      </c>
      <c r="CK8" s="4">
        <v>513.94834125709826</v>
      </c>
      <c r="CL8" s="4">
        <v>123.57497187791648</v>
      </c>
      <c r="CM8" s="4">
        <v>180.38768687887207</v>
      </c>
      <c r="CN8" s="4">
        <v>95.057645155356965</v>
      </c>
      <c r="CO8" s="4">
        <v>0</v>
      </c>
      <c r="CP8" s="4">
        <v>0</v>
      </c>
      <c r="CQ8" s="4">
        <v>404.6397395096991</v>
      </c>
      <c r="CR8" s="4">
        <v>380.44394889372637</v>
      </c>
      <c r="CS8" s="4">
        <v>202.46653461744319</v>
      </c>
      <c r="CT8" s="4">
        <v>566.38479637991065</v>
      </c>
      <c r="CU8" s="4">
        <v>-10.882960470207387</v>
      </c>
      <c r="CV8" s="4">
        <v>108.61213459679776</v>
      </c>
      <c r="CW8" s="4">
        <v>191.86251140273652</v>
      </c>
      <c r="CX8" s="4">
        <v>84.37037337823854</v>
      </c>
      <c r="CY8" s="4">
        <v>372.99606863509541</v>
      </c>
      <c r="CZ8" s="4">
        <v>31.188651217419434</v>
      </c>
      <c r="DA8" s="4">
        <v>185.95133966142231</v>
      </c>
      <c r="DB8" s="4">
        <v>67.194706566174318</v>
      </c>
      <c r="DC8" s="4">
        <v>19.025834341241115</v>
      </c>
      <c r="DD8" s="4">
        <v>34.6610206991149</v>
      </c>
      <c r="DE8" s="4">
        <v>82.387646670723683</v>
      </c>
      <c r="DF8" s="4">
        <v>60.955966722606931</v>
      </c>
      <c r="DG8" s="4">
        <v>45.583355723308799</v>
      </c>
      <c r="DH8" s="4">
        <v>708.63212094882726</v>
      </c>
      <c r="DI8" s="4">
        <v>75.305366167318439</v>
      </c>
      <c r="DJ8" s="4">
        <v>0.32175688253154761</v>
      </c>
      <c r="DK8" s="4">
        <v>0</v>
      </c>
      <c r="DL8" s="4">
        <v>0</v>
      </c>
      <c r="DM8" s="4">
        <v>271.80161889760763</v>
      </c>
      <c r="DN8" s="4">
        <v>33.421592477067612</v>
      </c>
      <c r="DO8" s="4">
        <v>31.286947521509116</v>
      </c>
      <c r="DP8" s="4">
        <v>213.57269933562594</v>
      </c>
      <c r="DQ8" s="4">
        <v>88.396997677895015</v>
      </c>
      <c r="DR8" s="4">
        <v>362.72183982942829</v>
      </c>
      <c r="DS8" s="4">
        <v>658.82929938782729</v>
      </c>
      <c r="DT8" s="4">
        <v>225.22525063686203</v>
      </c>
      <c r="DU8" s="4">
        <v>1002.4266301224819</v>
      </c>
      <c r="DV8" s="4">
        <v>648.47658497284522</v>
      </c>
      <c r="DW8" s="4">
        <v>18.125282692935151</v>
      </c>
      <c r="DX8" s="4">
        <v>2.5763414703282086</v>
      </c>
      <c r="DY8" s="4">
        <v>15.550886432511856</v>
      </c>
      <c r="DZ8" s="4">
        <v>2.6657773714177746</v>
      </c>
      <c r="EA8" s="4">
        <v>6.7363405336017887</v>
      </c>
      <c r="EB8" s="4">
        <v>30.884277465564935</v>
      </c>
      <c r="EC8" s="4">
        <v>7.4851807187749735</v>
      </c>
      <c r="ED8" s="4">
        <v>1.3582148441814179</v>
      </c>
      <c r="EE8" s="4">
        <v>227.25596758002891</v>
      </c>
      <c r="EF8" s="4">
        <v>639.65908323305189</v>
      </c>
      <c r="EG8" s="4">
        <v>2765.4659601555759</v>
      </c>
      <c r="EH8" s="4">
        <v>392.91740662668525</v>
      </c>
      <c r="EI8" s="4">
        <v>83.099457951761281</v>
      </c>
      <c r="EJ8" s="4">
        <v>220.26643256420851</v>
      </c>
      <c r="EK8" s="4">
        <v>-160.92179486860888</v>
      </c>
      <c r="EL8" s="4">
        <v>-53.591333467970365</v>
      </c>
      <c r="EM8" s="4">
        <v>0</v>
      </c>
      <c r="EN8" s="4">
        <v>0</v>
      </c>
      <c r="EO8" s="4">
        <v>8811.9977841422533</v>
      </c>
      <c r="EP8" s="4">
        <v>92.813924906141253</v>
      </c>
      <c r="EQ8" s="4">
        <v>94.853924119690447</v>
      </c>
      <c r="ER8" s="4">
        <v>6029.4357765028226</v>
      </c>
      <c r="ES8" s="4">
        <v>2.959187225720687</v>
      </c>
      <c r="ET8" s="4">
        <v>511.62000412218242</v>
      </c>
      <c r="EU8" s="4">
        <v>6671.2089341598767</v>
      </c>
      <c r="EV8" s="4">
        <v>106.3795812980504</v>
      </c>
      <c r="EW8" s="4">
        <v>539.12356744861677</v>
      </c>
      <c r="EX8" s="4">
        <v>0</v>
      </c>
      <c r="EY8" s="4">
        <v>21.677390869688764</v>
      </c>
      <c r="EZ8" s="4">
        <v>43.317560370053144</v>
      </c>
    </row>
    <row r="9" spans="2:156" x14ac:dyDescent="0.35">
      <c r="B9" s="11">
        <v>3</v>
      </c>
      <c r="C9" s="11">
        <v>2</v>
      </c>
      <c r="D9" s="12" t="s">
        <v>172</v>
      </c>
      <c r="E9" s="3" t="s">
        <v>174</v>
      </c>
      <c r="F9" s="6">
        <v>1553.4786315087422</v>
      </c>
      <c r="G9" s="4">
        <v>0</v>
      </c>
      <c r="H9" s="4">
        <v>0</v>
      </c>
      <c r="I9" s="4">
        <v>111.91095300029232</v>
      </c>
      <c r="J9" s="4">
        <v>14.856699558053078</v>
      </c>
      <c r="K9" s="4">
        <v>0</v>
      </c>
      <c r="L9" s="4">
        <v>51.229986425142485</v>
      </c>
      <c r="M9" s="4">
        <v>0</v>
      </c>
      <c r="N9" s="4">
        <v>0</v>
      </c>
      <c r="O9" s="4">
        <v>0</v>
      </c>
      <c r="P9" s="4">
        <v>0</v>
      </c>
      <c r="Q9" s="4">
        <v>45.663649793343204</v>
      </c>
      <c r="R9" s="4">
        <v>0</v>
      </c>
      <c r="S9" s="4">
        <v>507.48700417005341</v>
      </c>
      <c r="T9" s="4">
        <v>-0.33072708154461877</v>
      </c>
      <c r="U9" s="4">
        <v>4.4703405679771837</v>
      </c>
      <c r="V9" s="4">
        <v>0</v>
      </c>
      <c r="W9" s="4">
        <v>0</v>
      </c>
      <c r="X9" s="4">
        <v>0</v>
      </c>
      <c r="Y9" s="4">
        <v>31.18660390395425</v>
      </c>
      <c r="Z9" s="4">
        <v>0</v>
      </c>
      <c r="AA9" s="4">
        <v>6.5154162800927446</v>
      </c>
      <c r="AB9" s="4">
        <v>0</v>
      </c>
      <c r="AC9" s="4">
        <v>1.6114739415229338</v>
      </c>
      <c r="AD9" s="4">
        <v>3.2767352218760202</v>
      </c>
      <c r="AE9" s="4">
        <v>0</v>
      </c>
      <c r="AF9" s="4">
        <v>5.1408419395342158</v>
      </c>
      <c r="AG9" s="4">
        <v>4.111272854744219</v>
      </c>
      <c r="AH9" s="4">
        <v>0</v>
      </c>
      <c r="AI9" s="4">
        <v>12.383367430825265</v>
      </c>
      <c r="AJ9" s="4">
        <v>78.795980207259674</v>
      </c>
      <c r="AK9" s="4">
        <v>0.30146601088076402</v>
      </c>
      <c r="AL9" s="4">
        <v>0</v>
      </c>
      <c r="AM9" s="4">
        <v>0</v>
      </c>
      <c r="AN9" s="4">
        <v>0</v>
      </c>
      <c r="AO9" s="4">
        <v>0</v>
      </c>
      <c r="AP9" s="4">
        <v>0</v>
      </c>
      <c r="AQ9" s="4">
        <v>0</v>
      </c>
      <c r="AR9" s="4">
        <v>41.698918891925871</v>
      </c>
      <c r="AS9" s="4">
        <v>0</v>
      </c>
      <c r="AT9" s="4">
        <v>83.331494172879829</v>
      </c>
      <c r="AU9" s="4">
        <v>0</v>
      </c>
      <c r="AV9" s="4">
        <v>29.445283323740291</v>
      </c>
      <c r="AW9" s="4">
        <v>0</v>
      </c>
      <c r="AX9" s="4">
        <v>0</v>
      </c>
      <c r="AY9" s="4">
        <v>0.83262590760341992</v>
      </c>
      <c r="AZ9" s="4">
        <v>0</v>
      </c>
      <c r="BA9" s="4">
        <v>0</v>
      </c>
      <c r="BB9" s="4">
        <v>16.777975800345324</v>
      </c>
      <c r="BC9" s="4">
        <v>0</v>
      </c>
      <c r="BD9" s="4">
        <v>1.2276384872814989</v>
      </c>
      <c r="BE9" s="4">
        <v>0</v>
      </c>
      <c r="BF9" s="4">
        <v>0</v>
      </c>
      <c r="BG9" s="4">
        <v>0</v>
      </c>
      <c r="BH9" s="4">
        <v>17.723701657719161</v>
      </c>
      <c r="BI9" s="4">
        <v>0</v>
      </c>
      <c r="BJ9" s="4">
        <v>0</v>
      </c>
      <c r="BK9" s="4">
        <v>0</v>
      </c>
      <c r="BL9" s="4">
        <v>0</v>
      </c>
      <c r="BM9" s="4">
        <v>0</v>
      </c>
      <c r="BN9" s="4">
        <v>0</v>
      </c>
      <c r="BO9" s="4">
        <v>0</v>
      </c>
      <c r="BP9" s="4">
        <v>0</v>
      </c>
      <c r="BQ9" s="4">
        <v>0</v>
      </c>
      <c r="BR9" s="4">
        <v>56.484664633062664</v>
      </c>
      <c r="BS9" s="4">
        <v>0</v>
      </c>
      <c r="BT9" s="4">
        <v>11.932659917861731</v>
      </c>
      <c r="BU9" s="4">
        <v>0</v>
      </c>
      <c r="BV9" s="4">
        <v>0</v>
      </c>
      <c r="BW9" s="4">
        <v>0</v>
      </c>
      <c r="BX9" s="4">
        <v>0</v>
      </c>
      <c r="BY9" s="4">
        <v>0</v>
      </c>
      <c r="BZ9" s="4">
        <v>0</v>
      </c>
      <c r="CA9" s="4">
        <v>0</v>
      </c>
      <c r="CB9" s="4">
        <v>0</v>
      </c>
      <c r="CC9" s="4">
        <v>0</v>
      </c>
      <c r="CD9" s="4">
        <v>0</v>
      </c>
      <c r="CE9" s="4">
        <v>0</v>
      </c>
      <c r="CF9" s="4">
        <v>0</v>
      </c>
      <c r="CG9" s="4">
        <v>0</v>
      </c>
      <c r="CH9" s="4">
        <v>0</v>
      </c>
      <c r="CI9" s="4">
        <v>0</v>
      </c>
      <c r="CJ9" s="4">
        <v>0.53402640655995137</v>
      </c>
      <c r="CK9" s="4">
        <v>33.439403417591834</v>
      </c>
      <c r="CL9" s="4">
        <v>0.85017717523448</v>
      </c>
      <c r="CM9" s="4">
        <v>1.9097376738962837</v>
      </c>
      <c r="CN9" s="4">
        <v>2.097969222768473</v>
      </c>
      <c r="CO9" s="4">
        <v>0</v>
      </c>
      <c r="CP9" s="4">
        <v>0</v>
      </c>
      <c r="CQ9" s="4">
        <v>1.2547131414405697</v>
      </c>
      <c r="CR9" s="4">
        <v>23.138014316075363</v>
      </c>
      <c r="CS9" s="4">
        <v>1.7315284730735894</v>
      </c>
      <c r="CT9" s="4">
        <v>7.1332568853235188</v>
      </c>
      <c r="CU9" s="4">
        <v>1.6876071440221314</v>
      </c>
      <c r="CV9" s="4">
        <v>0</v>
      </c>
      <c r="CW9" s="4">
        <v>2.0015318795235446</v>
      </c>
      <c r="CX9" s="4">
        <v>0</v>
      </c>
      <c r="CY9" s="4">
        <v>6.9626370531287591</v>
      </c>
      <c r="CZ9" s="4">
        <v>4.6955046727558845</v>
      </c>
      <c r="DA9" s="4">
        <v>5.2945124065056923</v>
      </c>
      <c r="DB9" s="4">
        <v>0</v>
      </c>
      <c r="DC9" s="4">
        <v>0</v>
      </c>
      <c r="DD9" s="4">
        <v>0</v>
      </c>
      <c r="DE9" s="4">
        <v>0</v>
      </c>
      <c r="DF9" s="4">
        <v>0</v>
      </c>
      <c r="DG9" s="4">
        <v>0</v>
      </c>
      <c r="DH9" s="4">
        <v>7.6283110260472764</v>
      </c>
      <c r="DI9" s="4">
        <v>5.6732941253374527</v>
      </c>
      <c r="DJ9" s="4">
        <v>0</v>
      </c>
      <c r="DK9" s="4">
        <v>0</v>
      </c>
      <c r="DL9" s="4">
        <v>0</v>
      </c>
      <c r="DM9" s="4">
        <v>0</v>
      </c>
      <c r="DN9" s="4">
        <v>0</v>
      </c>
      <c r="DO9" s="4">
        <v>0</v>
      </c>
      <c r="DP9" s="4">
        <v>0</v>
      </c>
      <c r="DQ9" s="4">
        <v>0</v>
      </c>
      <c r="DR9" s="4">
        <v>0</v>
      </c>
      <c r="DS9" s="4">
        <v>17.698712201748929</v>
      </c>
      <c r="DT9" s="4">
        <v>4.4958019346918858</v>
      </c>
      <c r="DU9" s="4">
        <v>5.1291505417214349</v>
      </c>
      <c r="DV9" s="4">
        <v>0</v>
      </c>
      <c r="DW9" s="4">
        <v>0</v>
      </c>
      <c r="DX9" s="4">
        <v>0</v>
      </c>
      <c r="DY9" s="4">
        <v>0</v>
      </c>
      <c r="DZ9" s="4">
        <v>0</v>
      </c>
      <c r="EA9" s="4">
        <v>0</v>
      </c>
      <c r="EB9" s="4">
        <v>0</v>
      </c>
      <c r="EC9" s="4">
        <v>0</v>
      </c>
      <c r="ED9" s="4">
        <v>0</v>
      </c>
      <c r="EE9" s="4">
        <v>0</v>
      </c>
      <c r="EF9" s="4">
        <v>7.2281302954377793</v>
      </c>
      <c r="EG9" s="4">
        <v>4.8059626461066252</v>
      </c>
      <c r="EH9" s="4">
        <v>81.548226467209162</v>
      </c>
      <c r="EI9" s="4">
        <v>0</v>
      </c>
      <c r="EJ9" s="4">
        <v>0</v>
      </c>
      <c r="EK9" s="4">
        <v>0</v>
      </c>
      <c r="EL9" s="4">
        <v>0</v>
      </c>
      <c r="EM9" s="4">
        <v>0</v>
      </c>
      <c r="EN9" s="4">
        <v>0</v>
      </c>
      <c r="EO9" s="4">
        <v>0</v>
      </c>
      <c r="EP9" s="4">
        <v>0</v>
      </c>
      <c r="EQ9" s="4">
        <v>0</v>
      </c>
      <c r="ER9" s="4">
        <v>129.58085550232951</v>
      </c>
      <c r="ES9" s="4">
        <v>0</v>
      </c>
      <c r="ET9" s="4">
        <v>0</v>
      </c>
      <c r="EU9" s="4">
        <v>58.764360464464801</v>
      </c>
      <c r="EV9" s="4">
        <v>0</v>
      </c>
      <c r="EW9" s="4">
        <v>0</v>
      </c>
      <c r="EX9" s="4">
        <v>0</v>
      </c>
      <c r="EY9" s="4">
        <v>0</v>
      </c>
      <c r="EZ9" s="4">
        <v>0.12917941932062244</v>
      </c>
    </row>
    <row r="10" spans="2:156" ht="29" x14ac:dyDescent="0.35">
      <c r="B10" s="11">
        <v>3</v>
      </c>
      <c r="C10" s="11">
        <v>3</v>
      </c>
      <c r="D10" s="12" t="s">
        <v>172</v>
      </c>
      <c r="E10" s="3" t="s">
        <v>175</v>
      </c>
      <c r="F10" s="6">
        <v>1173.4545916056609</v>
      </c>
      <c r="G10" s="4">
        <v>0</v>
      </c>
      <c r="H10" s="4">
        <v>0</v>
      </c>
      <c r="I10" s="4">
        <v>20.147809361425221</v>
      </c>
      <c r="J10" s="4">
        <v>11.497601682503387</v>
      </c>
      <c r="K10" s="4">
        <v>0</v>
      </c>
      <c r="L10" s="4">
        <v>52.70847458444662</v>
      </c>
      <c r="M10" s="4">
        <v>0.87509055606975705</v>
      </c>
      <c r="N10" s="4">
        <v>0</v>
      </c>
      <c r="O10" s="4">
        <v>0</v>
      </c>
      <c r="P10" s="4">
        <v>0</v>
      </c>
      <c r="Q10" s="4">
        <v>10.825321891303606</v>
      </c>
      <c r="R10" s="4">
        <v>0</v>
      </c>
      <c r="S10" s="4">
        <v>17.980938344494596</v>
      </c>
      <c r="T10" s="4">
        <v>1.8925013539233195</v>
      </c>
      <c r="U10" s="4">
        <v>2.2802348120116473</v>
      </c>
      <c r="V10" s="4">
        <v>0</v>
      </c>
      <c r="W10" s="4">
        <v>0</v>
      </c>
      <c r="X10" s="4">
        <v>0</v>
      </c>
      <c r="Y10" s="4">
        <v>16.679025136590408</v>
      </c>
      <c r="Z10" s="4">
        <v>0</v>
      </c>
      <c r="AA10" s="4">
        <v>16.959534533245982</v>
      </c>
      <c r="AB10" s="4">
        <v>0</v>
      </c>
      <c r="AC10" s="4">
        <v>0</v>
      </c>
      <c r="AD10" s="4">
        <v>3.3307690186781933</v>
      </c>
      <c r="AE10" s="4">
        <v>0</v>
      </c>
      <c r="AF10" s="4">
        <v>15.242216051199946</v>
      </c>
      <c r="AG10" s="4">
        <v>4.5457920824130742</v>
      </c>
      <c r="AH10" s="4">
        <v>0</v>
      </c>
      <c r="AI10" s="4">
        <v>25.139249477528665</v>
      </c>
      <c r="AJ10" s="4">
        <v>48.308008019310407</v>
      </c>
      <c r="AK10" s="4">
        <v>3.5377815333477223</v>
      </c>
      <c r="AL10" s="4">
        <v>0</v>
      </c>
      <c r="AM10" s="4">
        <v>0</v>
      </c>
      <c r="AN10" s="4">
        <v>0</v>
      </c>
      <c r="AO10" s="4">
        <v>2.3081366147527929</v>
      </c>
      <c r="AP10" s="4">
        <v>0.69107492966401651</v>
      </c>
      <c r="AQ10" s="4">
        <v>0</v>
      </c>
      <c r="AR10" s="4">
        <v>1.4876212778019573</v>
      </c>
      <c r="AS10" s="4">
        <v>0</v>
      </c>
      <c r="AT10" s="4">
        <v>61.757478044096565</v>
      </c>
      <c r="AU10" s="4">
        <v>8.3958212152697456E-2</v>
      </c>
      <c r="AV10" s="4">
        <v>7.7663923207229351</v>
      </c>
      <c r="AW10" s="4">
        <v>0</v>
      </c>
      <c r="AX10" s="4">
        <v>1.0329917041031866</v>
      </c>
      <c r="AY10" s="4">
        <v>0</v>
      </c>
      <c r="AZ10" s="4">
        <v>0</v>
      </c>
      <c r="BA10" s="4">
        <v>0.46761521546087115</v>
      </c>
      <c r="BB10" s="4">
        <v>5.8414444876539298</v>
      </c>
      <c r="BC10" s="4">
        <v>0</v>
      </c>
      <c r="BD10" s="4">
        <v>10.342263843598172</v>
      </c>
      <c r="BE10" s="4">
        <v>0</v>
      </c>
      <c r="BF10" s="4">
        <v>0</v>
      </c>
      <c r="BG10" s="4">
        <v>0</v>
      </c>
      <c r="BH10" s="4">
        <v>16.1693081576053</v>
      </c>
      <c r="BI10" s="4">
        <v>0</v>
      </c>
      <c r="BJ10" s="4">
        <v>0</v>
      </c>
      <c r="BK10" s="4">
        <v>0</v>
      </c>
      <c r="BL10" s="4">
        <v>0</v>
      </c>
      <c r="BM10" s="4">
        <v>0</v>
      </c>
      <c r="BN10" s="4">
        <v>0</v>
      </c>
      <c r="BO10" s="4">
        <v>0</v>
      </c>
      <c r="BP10" s="4">
        <v>0</v>
      </c>
      <c r="BQ10" s="4">
        <v>23.764002567178238</v>
      </c>
      <c r="BR10" s="4">
        <v>0</v>
      </c>
      <c r="BS10" s="4">
        <v>0.93129404451634978</v>
      </c>
      <c r="BT10" s="4">
        <v>3.0878477861362938</v>
      </c>
      <c r="BU10" s="4">
        <v>0</v>
      </c>
      <c r="BV10" s="4">
        <v>0</v>
      </c>
      <c r="BW10" s="4">
        <v>0</v>
      </c>
      <c r="BX10" s="4">
        <v>0</v>
      </c>
      <c r="BY10" s="4">
        <v>0</v>
      </c>
      <c r="BZ10" s="4">
        <v>0</v>
      </c>
      <c r="CA10" s="4">
        <v>0</v>
      </c>
      <c r="CB10" s="4">
        <v>0</v>
      </c>
      <c r="CC10" s="4">
        <v>0</v>
      </c>
      <c r="CD10" s="4">
        <v>0</v>
      </c>
      <c r="CE10" s="4">
        <v>2.3936557199999999</v>
      </c>
      <c r="CF10" s="4">
        <v>0</v>
      </c>
      <c r="CG10" s="4">
        <v>0</v>
      </c>
      <c r="CH10" s="4">
        <v>0</v>
      </c>
      <c r="CI10" s="4">
        <v>15.307488015148593</v>
      </c>
      <c r="CJ10" s="4">
        <v>9.8394469061984076</v>
      </c>
      <c r="CK10" s="4">
        <v>26.10504731108173</v>
      </c>
      <c r="CL10" s="4">
        <v>1.660638236695074</v>
      </c>
      <c r="CM10" s="4">
        <v>9.0133631031999926</v>
      </c>
      <c r="CN10" s="4">
        <v>3.7993670775290371</v>
      </c>
      <c r="CO10" s="4">
        <v>0</v>
      </c>
      <c r="CP10" s="4">
        <v>0</v>
      </c>
      <c r="CQ10" s="4">
        <v>2.9663270693732953</v>
      </c>
      <c r="CR10" s="4">
        <v>4.4533188545287024</v>
      </c>
      <c r="CS10" s="4">
        <v>7.9335691910892638</v>
      </c>
      <c r="CT10" s="4">
        <v>12.756694272231627</v>
      </c>
      <c r="CU10" s="4">
        <v>4.3349999748171895</v>
      </c>
      <c r="CV10" s="4">
        <v>5.371744972223599</v>
      </c>
      <c r="CW10" s="4">
        <v>1.3303752207153134</v>
      </c>
      <c r="CX10" s="4">
        <v>1.9821624547506504</v>
      </c>
      <c r="CY10" s="4">
        <v>4.2983497984819081</v>
      </c>
      <c r="CZ10" s="4">
        <v>1.4916443515554725</v>
      </c>
      <c r="DA10" s="4">
        <v>0</v>
      </c>
      <c r="DB10" s="4">
        <v>2.0314468119501359</v>
      </c>
      <c r="DC10" s="4">
        <v>1.0845721961448489</v>
      </c>
      <c r="DD10" s="4">
        <v>1.8326564027988017</v>
      </c>
      <c r="DE10" s="4">
        <v>2.1457949135789618</v>
      </c>
      <c r="DF10" s="4">
        <v>0.61596902046169733</v>
      </c>
      <c r="DG10" s="4">
        <v>1.3781553027988018</v>
      </c>
      <c r="DH10" s="4">
        <v>14.285473381689469</v>
      </c>
      <c r="DI10" s="4">
        <v>3.2078687516778248</v>
      </c>
      <c r="DJ10" s="4">
        <v>0</v>
      </c>
      <c r="DK10" s="4">
        <v>0</v>
      </c>
      <c r="DL10" s="4">
        <v>0</v>
      </c>
      <c r="DM10" s="4">
        <v>10.357517023915793</v>
      </c>
      <c r="DN10" s="4">
        <v>1.0458396810313562</v>
      </c>
      <c r="DO10" s="4">
        <v>2.509268266629304</v>
      </c>
      <c r="DP10" s="4">
        <v>4.3822656911889588</v>
      </c>
      <c r="DQ10" s="4">
        <v>6.953897126830987</v>
      </c>
      <c r="DR10" s="4">
        <v>5.4852243982766637</v>
      </c>
      <c r="DS10" s="4">
        <v>26.680908713593393</v>
      </c>
      <c r="DT10" s="4">
        <v>10.196730656509798</v>
      </c>
      <c r="DU10" s="4">
        <v>6.121181243360339</v>
      </c>
      <c r="DV10" s="4">
        <v>0</v>
      </c>
      <c r="DW10" s="4">
        <v>0</v>
      </c>
      <c r="DX10" s="4">
        <v>0</v>
      </c>
      <c r="DY10" s="4">
        <v>0</v>
      </c>
      <c r="DZ10" s="4">
        <v>0</v>
      </c>
      <c r="EA10" s="4">
        <v>0</v>
      </c>
      <c r="EB10" s="4">
        <v>0</v>
      </c>
      <c r="EC10" s="4">
        <v>0</v>
      </c>
      <c r="ED10" s="4">
        <v>0</v>
      </c>
      <c r="EE10" s="4">
        <v>0.96546540101760003</v>
      </c>
      <c r="EF10" s="4">
        <v>2.4674498716804019</v>
      </c>
      <c r="EG10" s="4">
        <v>11.659608006575001</v>
      </c>
      <c r="EH10" s="4">
        <v>389.04474908892558</v>
      </c>
      <c r="EI10" s="4">
        <v>0</v>
      </c>
      <c r="EJ10" s="4">
        <v>0</v>
      </c>
      <c r="EK10" s="4">
        <v>0</v>
      </c>
      <c r="EL10" s="4">
        <v>0</v>
      </c>
      <c r="EM10" s="4">
        <v>0</v>
      </c>
      <c r="EN10" s="4">
        <v>0</v>
      </c>
      <c r="EO10" s="4">
        <v>26.778299765362554</v>
      </c>
      <c r="EP10" s="4">
        <v>0</v>
      </c>
      <c r="EQ10" s="4">
        <v>0</v>
      </c>
      <c r="ER10" s="4">
        <v>52.082278594126706</v>
      </c>
      <c r="ES10" s="4">
        <v>0</v>
      </c>
      <c r="ET10" s="4">
        <v>12.013992567472094</v>
      </c>
      <c r="EU10" s="4">
        <v>51.133806730383476</v>
      </c>
      <c r="EV10" s="4">
        <v>7.30143885499107</v>
      </c>
      <c r="EW10" s="4">
        <v>15.916523555351624</v>
      </c>
      <c r="EX10" s="4">
        <v>1.0562394137821054</v>
      </c>
      <c r="EY10" s="4">
        <v>0</v>
      </c>
      <c r="EZ10" s="4">
        <v>0</v>
      </c>
    </row>
    <row r="11" spans="2:156" ht="29" x14ac:dyDescent="0.35">
      <c r="B11" s="11">
        <v>3</v>
      </c>
      <c r="C11" s="11">
        <v>4</v>
      </c>
      <c r="D11" s="12" t="s">
        <v>172</v>
      </c>
      <c r="E11" s="3" t="s">
        <v>176</v>
      </c>
      <c r="F11" s="6">
        <v>22660.4512823154</v>
      </c>
      <c r="G11" s="4">
        <v>0</v>
      </c>
      <c r="H11" s="4">
        <v>-90.478018526167247</v>
      </c>
      <c r="I11" s="4">
        <v>31.376289720042536</v>
      </c>
      <c r="J11" s="4">
        <v>14.85030515521796</v>
      </c>
      <c r="K11" s="4">
        <v>0</v>
      </c>
      <c r="L11" s="4">
        <v>0</v>
      </c>
      <c r="M11" s="4">
        <v>0.13041779208233772</v>
      </c>
      <c r="N11" s="4">
        <v>-5.1065663856223136</v>
      </c>
      <c r="O11" s="4">
        <v>0</v>
      </c>
      <c r="P11" s="4">
        <v>0</v>
      </c>
      <c r="Q11" s="4">
        <v>299.02955772909871</v>
      </c>
      <c r="R11" s="4">
        <v>0</v>
      </c>
      <c r="S11" s="4">
        <v>1143.0719147027066</v>
      </c>
      <c r="T11" s="4">
        <v>207.10147723432391</v>
      </c>
      <c r="U11" s="4">
        <v>171.10876500793228</v>
      </c>
      <c r="V11" s="4">
        <v>0</v>
      </c>
      <c r="W11" s="4">
        <v>0.46917100973317505</v>
      </c>
      <c r="X11" s="4">
        <v>0</v>
      </c>
      <c r="Y11" s="4">
        <v>118.74758303853359</v>
      </c>
      <c r="Z11" s="4">
        <v>0</v>
      </c>
      <c r="AA11" s="4">
        <v>292.56537620182502</v>
      </c>
      <c r="AB11" s="4">
        <v>0</v>
      </c>
      <c r="AC11" s="4">
        <v>44.479765187533879</v>
      </c>
      <c r="AD11" s="4">
        <v>-21.480790241930922</v>
      </c>
      <c r="AE11" s="4">
        <v>39.706809477423583</v>
      </c>
      <c r="AF11" s="4">
        <v>581.23264254011792</v>
      </c>
      <c r="AG11" s="4">
        <v>88.114966439340762</v>
      </c>
      <c r="AH11" s="4">
        <v>0</v>
      </c>
      <c r="AI11" s="4">
        <v>359.08432274655445</v>
      </c>
      <c r="AJ11" s="4">
        <v>220.77859939078382</v>
      </c>
      <c r="AK11" s="4">
        <v>16.648944621465006</v>
      </c>
      <c r="AL11" s="4">
        <v>0</v>
      </c>
      <c r="AM11" s="4">
        <v>0</v>
      </c>
      <c r="AN11" s="4">
        <v>0</v>
      </c>
      <c r="AO11" s="4">
        <v>14.416683609042032</v>
      </c>
      <c r="AP11" s="4">
        <v>1.5921670838213262</v>
      </c>
      <c r="AQ11" s="4">
        <v>-7.344110719905995</v>
      </c>
      <c r="AR11" s="4">
        <v>-30.847022274736222</v>
      </c>
      <c r="AS11" s="4">
        <v>1.9822989554222803</v>
      </c>
      <c r="AT11" s="4">
        <v>2524.2116467052351</v>
      </c>
      <c r="AU11" s="4">
        <v>20.791649357693718</v>
      </c>
      <c r="AV11" s="4">
        <v>146.60511141953197</v>
      </c>
      <c r="AW11" s="4">
        <v>0</v>
      </c>
      <c r="AX11" s="4">
        <v>26.769157613773366</v>
      </c>
      <c r="AY11" s="4">
        <v>5.487990138299768</v>
      </c>
      <c r="AZ11" s="4">
        <v>0</v>
      </c>
      <c r="BA11" s="4">
        <v>0</v>
      </c>
      <c r="BB11" s="4">
        <v>194.72039746557627</v>
      </c>
      <c r="BC11" s="4">
        <v>0</v>
      </c>
      <c r="BD11" s="4">
        <v>234.24063623312668</v>
      </c>
      <c r="BE11" s="4">
        <v>0.3404956576400639</v>
      </c>
      <c r="BF11" s="4">
        <v>0</v>
      </c>
      <c r="BG11" s="4">
        <v>0</v>
      </c>
      <c r="BH11" s="4">
        <v>200.90703317653208</v>
      </c>
      <c r="BI11" s="4">
        <v>0</v>
      </c>
      <c r="BJ11" s="4">
        <v>0</v>
      </c>
      <c r="BK11" s="4">
        <v>0</v>
      </c>
      <c r="BL11" s="4">
        <v>0</v>
      </c>
      <c r="BM11" s="4">
        <v>0</v>
      </c>
      <c r="BN11" s="4">
        <v>39.830195339020676</v>
      </c>
      <c r="BO11" s="4">
        <v>0</v>
      </c>
      <c r="BP11" s="4">
        <v>0</v>
      </c>
      <c r="BQ11" s="4">
        <v>378.7829787333543</v>
      </c>
      <c r="BR11" s="4">
        <v>477.22283599491914</v>
      </c>
      <c r="BS11" s="4">
        <v>233.29029220203446</v>
      </c>
      <c r="BT11" s="4">
        <v>0</v>
      </c>
      <c r="BU11" s="4">
        <v>0</v>
      </c>
      <c r="BV11" s="4">
        <v>0</v>
      </c>
      <c r="BW11" s="4">
        <v>0</v>
      </c>
      <c r="BX11" s="4">
        <v>0</v>
      </c>
      <c r="BY11" s="4">
        <v>0</v>
      </c>
      <c r="BZ11" s="4">
        <v>0</v>
      </c>
      <c r="CA11" s="4">
        <v>0</v>
      </c>
      <c r="CB11" s="4">
        <v>0</v>
      </c>
      <c r="CC11" s="4">
        <v>0</v>
      </c>
      <c r="CD11" s="4">
        <v>0</v>
      </c>
      <c r="CE11" s="4">
        <v>1.0874765288890318</v>
      </c>
      <c r="CF11" s="4">
        <v>0</v>
      </c>
      <c r="CG11" s="4">
        <v>0</v>
      </c>
      <c r="CH11" s="4">
        <v>0</v>
      </c>
      <c r="CI11" s="4">
        <v>17.330687465852943</v>
      </c>
      <c r="CJ11" s="4">
        <v>80.887471592273229</v>
      </c>
      <c r="CK11" s="4">
        <v>101.70322671789586</v>
      </c>
      <c r="CL11" s="4">
        <v>89.622329135797713</v>
      </c>
      <c r="CM11" s="4">
        <v>27.768450844714174</v>
      </c>
      <c r="CN11" s="4">
        <v>12.748568931473965</v>
      </c>
      <c r="CO11" s="4">
        <v>0</v>
      </c>
      <c r="CP11" s="4">
        <v>0</v>
      </c>
      <c r="CQ11" s="4">
        <v>329.03549061763721</v>
      </c>
      <c r="CR11" s="4">
        <v>41.301888042603629</v>
      </c>
      <c r="CS11" s="4">
        <v>23.783142530906293</v>
      </c>
      <c r="CT11" s="4">
        <v>267.78547269686891</v>
      </c>
      <c r="CU11" s="4">
        <v>5.0623330100063111</v>
      </c>
      <c r="CV11" s="4">
        <v>76.740482950695963</v>
      </c>
      <c r="CW11" s="4">
        <v>66.710584836866815</v>
      </c>
      <c r="CX11" s="4">
        <v>27.015904341104743</v>
      </c>
      <c r="CY11" s="4">
        <v>70.87767577094894</v>
      </c>
      <c r="CZ11" s="4">
        <v>16.790554931650071</v>
      </c>
      <c r="DA11" s="4">
        <v>18.607326449241079</v>
      </c>
      <c r="DB11" s="4">
        <v>36.325379384988523</v>
      </c>
      <c r="DC11" s="4">
        <v>10.488775836519777</v>
      </c>
      <c r="DD11" s="4">
        <v>7.1807061418877627</v>
      </c>
      <c r="DE11" s="4">
        <v>13.611450716386747</v>
      </c>
      <c r="DF11" s="4">
        <v>27.487509728193142</v>
      </c>
      <c r="DG11" s="4">
        <v>6.9036706341680798</v>
      </c>
      <c r="DH11" s="4">
        <v>116.61337978973869</v>
      </c>
      <c r="DI11" s="4">
        <v>0</v>
      </c>
      <c r="DJ11" s="4">
        <v>0</v>
      </c>
      <c r="DK11" s="4">
        <v>0</v>
      </c>
      <c r="DL11" s="4">
        <v>0</v>
      </c>
      <c r="DM11" s="4">
        <v>319.9939218492932</v>
      </c>
      <c r="DN11" s="4">
        <v>29.149393792897335</v>
      </c>
      <c r="DO11" s="4">
        <v>6.0720216268182812</v>
      </c>
      <c r="DP11" s="4">
        <v>79.237718418558316</v>
      </c>
      <c r="DQ11" s="4">
        <v>64.201641072038058</v>
      </c>
      <c r="DR11" s="4">
        <v>24.661065050346284</v>
      </c>
      <c r="DS11" s="4">
        <v>214.90341034896434</v>
      </c>
      <c r="DT11" s="4">
        <v>64.262437634025275</v>
      </c>
      <c r="DU11" s="4">
        <v>2.8066671148387665E-2</v>
      </c>
      <c r="DV11" s="4">
        <v>96.292975924833172</v>
      </c>
      <c r="DW11" s="4">
        <v>0</v>
      </c>
      <c r="DX11" s="4">
        <v>0</v>
      </c>
      <c r="DY11" s="4">
        <v>0</v>
      </c>
      <c r="DZ11" s="4">
        <v>0</v>
      </c>
      <c r="EA11" s="4">
        <v>0</v>
      </c>
      <c r="EB11" s="4">
        <v>0</v>
      </c>
      <c r="EC11" s="4">
        <v>0</v>
      </c>
      <c r="ED11" s="4">
        <v>0</v>
      </c>
      <c r="EE11" s="4">
        <v>164.91225195958799</v>
      </c>
      <c r="EF11" s="4">
        <v>120.52512661604473</v>
      </c>
      <c r="EG11" s="4">
        <v>906.36118397332802</v>
      </c>
      <c r="EH11" s="4">
        <v>4368.232546944555</v>
      </c>
      <c r="EI11" s="4">
        <v>0</v>
      </c>
      <c r="EJ11" s="4">
        <v>0</v>
      </c>
      <c r="EK11" s="4">
        <v>0</v>
      </c>
      <c r="EL11" s="4">
        <v>0</v>
      </c>
      <c r="EM11" s="4">
        <v>0</v>
      </c>
      <c r="EN11" s="4">
        <v>0</v>
      </c>
      <c r="EO11" s="4">
        <v>1874.485867709664</v>
      </c>
      <c r="EP11" s="4">
        <v>92.103431864548256</v>
      </c>
      <c r="EQ11" s="4">
        <v>0</v>
      </c>
      <c r="ER11" s="4">
        <v>3792.6288840720581</v>
      </c>
      <c r="ES11" s="4">
        <v>0</v>
      </c>
      <c r="ET11" s="4">
        <v>193.07284345566407</v>
      </c>
      <c r="EU11" s="4">
        <v>528.18314147782451</v>
      </c>
      <c r="EV11" s="4">
        <v>0.30259086047808514</v>
      </c>
      <c r="EW11" s="4">
        <v>252.93885183403611</v>
      </c>
      <c r="EX11" s="4">
        <v>0</v>
      </c>
      <c r="EY11" s="4">
        <v>0</v>
      </c>
      <c r="EZ11" s="4">
        <v>0</v>
      </c>
    </row>
    <row r="12" spans="2:156" ht="29" x14ac:dyDescent="0.35">
      <c r="B12" s="11">
        <v>3</v>
      </c>
      <c r="C12" s="11">
        <v>5</v>
      </c>
      <c r="D12" s="12" t="s">
        <v>172</v>
      </c>
      <c r="E12" s="3" t="s">
        <v>177</v>
      </c>
      <c r="F12" s="6">
        <v>398.82427199207717</v>
      </c>
      <c r="G12" s="4">
        <v>0</v>
      </c>
      <c r="H12" s="4">
        <v>0</v>
      </c>
      <c r="I12" s="4">
        <v>22.750954056039316</v>
      </c>
      <c r="J12" s="4">
        <v>13.959694074859472</v>
      </c>
      <c r="K12" s="4">
        <v>0</v>
      </c>
      <c r="L12" s="4">
        <v>42.426190200815782</v>
      </c>
      <c r="M12" s="4">
        <v>0</v>
      </c>
      <c r="N12" s="4">
        <v>2.4058522515016421</v>
      </c>
      <c r="O12" s="4">
        <v>0</v>
      </c>
      <c r="P12" s="4">
        <v>0</v>
      </c>
      <c r="Q12" s="4">
        <v>2.3539313072329993</v>
      </c>
      <c r="R12" s="4">
        <v>0</v>
      </c>
      <c r="S12" s="4">
        <v>37.28267821406677</v>
      </c>
      <c r="T12" s="4">
        <v>0</v>
      </c>
      <c r="U12" s="4">
        <v>0</v>
      </c>
      <c r="V12" s="4">
        <v>0</v>
      </c>
      <c r="W12" s="4">
        <v>0</v>
      </c>
      <c r="X12" s="4">
        <v>0</v>
      </c>
      <c r="Y12" s="4">
        <v>9.1585668293919404</v>
      </c>
      <c r="Z12" s="4">
        <v>0</v>
      </c>
      <c r="AA12" s="4">
        <v>11.364582279206234</v>
      </c>
      <c r="AB12" s="4">
        <v>0</v>
      </c>
      <c r="AC12" s="4">
        <v>0</v>
      </c>
      <c r="AD12" s="4">
        <v>0.77750247283432938</v>
      </c>
      <c r="AE12" s="4">
        <v>0</v>
      </c>
      <c r="AF12" s="4">
        <v>0</v>
      </c>
      <c r="AG12" s="4">
        <v>0</v>
      </c>
      <c r="AH12" s="4">
        <v>0</v>
      </c>
      <c r="AI12" s="4">
        <v>0</v>
      </c>
      <c r="AJ12" s="4">
        <v>21.940781995587109</v>
      </c>
      <c r="AK12" s="4">
        <v>5.6099702957106734</v>
      </c>
      <c r="AL12" s="4">
        <v>0</v>
      </c>
      <c r="AM12" s="4">
        <v>0</v>
      </c>
      <c r="AN12" s="4">
        <v>0</v>
      </c>
      <c r="AO12" s="4">
        <v>3.3124935977670806</v>
      </c>
      <c r="AP12" s="4">
        <v>0</v>
      </c>
      <c r="AQ12" s="4">
        <v>0</v>
      </c>
      <c r="AR12" s="4">
        <v>2.7842680167465454</v>
      </c>
      <c r="AS12" s="4">
        <v>0</v>
      </c>
      <c r="AT12" s="4">
        <v>14.319297175292501</v>
      </c>
      <c r="AU12" s="4">
        <v>0</v>
      </c>
      <c r="AV12" s="4">
        <v>0</v>
      </c>
      <c r="AW12" s="4">
        <v>0</v>
      </c>
      <c r="AX12" s="4">
        <v>0</v>
      </c>
      <c r="AY12" s="4">
        <v>2.1777249278740083</v>
      </c>
      <c r="AZ12" s="4">
        <v>0</v>
      </c>
      <c r="BA12" s="4">
        <v>0</v>
      </c>
      <c r="BB12" s="4">
        <v>9.7821939223517056</v>
      </c>
      <c r="BC12" s="4">
        <v>0</v>
      </c>
      <c r="BD12" s="4">
        <v>0</v>
      </c>
      <c r="BE12" s="4">
        <v>0</v>
      </c>
      <c r="BF12" s="4">
        <v>0</v>
      </c>
      <c r="BG12" s="4">
        <v>0</v>
      </c>
      <c r="BH12" s="4">
        <v>0</v>
      </c>
      <c r="BI12" s="4">
        <v>0</v>
      </c>
      <c r="BJ12" s="4">
        <v>0</v>
      </c>
      <c r="BK12" s="4">
        <v>0</v>
      </c>
      <c r="BL12" s="4">
        <v>0</v>
      </c>
      <c r="BM12" s="4">
        <v>0</v>
      </c>
      <c r="BN12" s="4">
        <v>0</v>
      </c>
      <c r="BO12" s="4">
        <v>0</v>
      </c>
      <c r="BP12" s="4">
        <v>0</v>
      </c>
      <c r="BQ12" s="4">
        <v>0</v>
      </c>
      <c r="BR12" s="4">
        <v>30.196007241372211</v>
      </c>
      <c r="BS12" s="4">
        <v>0</v>
      </c>
      <c r="BT12" s="4">
        <v>0</v>
      </c>
      <c r="BU12" s="4">
        <v>0</v>
      </c>
      <c r="BV12" s="4">
        <v>0</v>
      </c>
      <c r="BW12" s="4">
        <v>0</v>
      </c>
      <c r="BX12" s="4">
        <v>0</v>
      </c>
      <c r="BY12" s="4">
        <v>0</v>
      </c>
      <c r="BZ12" s="4">
        <v>0</v>
      </c>
      <c r="CA12" s="4">
        <v>0</v>
      </c>
      <c r="CB12" s="4">
        <v>0</v>
      </c>
      <c r="CC12" s="4">
        <v>0</v>
      </c>
      <c r="CD12" s="4">
        <v>0</v>
      </c>
      <c r="CE12" s="4">
        <v>4.9080435293229678</v>
      </c>
      <c r="CF12" s="4">
        <v>0</v>
      </c>
      <c r="CG12" s="4">
        <v>0</v>
      </c>
      <c r="CH12" s="4">
        <v>0</v>
      </c>
      <c r="CI12" s="4">
        <v>0</v>
      </c>
      <c r="CJ12" s="4">
        <v>12.233608522682864</v>
      </c>
      <c r="CK12" s="4">
        <v>21.86685401329337</v>
      </c>
      <c r="CL12" s="4">
        <v>4.8746888291404362</v>
      </c>
      <c r="CM12" s="4">
        <v>10.269365248467178</v>
      </c>
      <c r="CN12" s="4">
        <v>0</v>
      </c>
      <c r="CO12" s="4">
        <v>0</v>
      </c>
      <c r="CP12" s="4">
        <v>0</v>
      </c>
      <c r="CQ12" s="4">
        <v>0</v>
      </c>
      <c r="CR12" s="4">
        <v>0</v>
      </c>
      <c r="CS12" s="4">
        <v>0</v>
      </c>
      <c r="CT12" s="4">
        <v>0</v>
      </c>
      <c r="CU12" s="4">
        <v>0</v>
      </c>
      <c r="CV12" s="4">
        <v>0</v>
      </c>
      <c r="CW12" s="4">
        <v>0</v>
      </c>
      <c r="CX12" s="4">
        <v>0</v>
      </c>
      <c r="CY12" s="4">
        <v>0</v>
      </c>
      <c r="CZ12" s="4">
        <v>0</v>
      </c>
      <c r="DA12" s="4">
        <v>0</v>
      </c>
      <c r="DB12" s="4">
        <v>0</v>
      </c>
      <c r="DC12" s="4">
        <v>6.0202825036339513</v>
      </c>
      <c r="DD12" s="4">
        <v>0</v>
      </c>
      <c r="DE12" s="4">
        <v>0</v>
      </c>
      <c r="DF12" s="4">
        <v>0</v>
      </c>
      <c r="DG12" s="4">
        <v>3.824795088815494</v>
      </c>
      <c r="DH12" s="4">
        <v>37.41394168987803</v>
      </c>
      <c r="DI12" s="4">
        <v>3.3304257220489046</v>
      </c>
      <c r="DJ12" s="4">
        <v>0</v>
      </c>
      <c r="DK12" s="4">
        <v>0</v>
      </c>
      <c r="DL12" s="4">
        <v>0</v>
      </c>
      <c r="DM12" s="4">
        <v>6.5717260982404886</v>
      </c>
      <c r="DN12" s="4">
        <v>5.3735073785142111</v>
      </c>
      <c r="DO12" s="4">
        <v>0.67108976637429674</v>
      </c>
      <c r="DP12" s="4">
        <v>3.02799465973116</v>
      </c>
      <c r="DQ12" s="4">
        <v>0</v>
      </c>
      <c r="DR12" s="4">
        <v>0</v>
      </c>
      <c r="DS12" s="4">
        <v>0</v>
      </c>
      <c r="DT12" s="4">
        <v>0</v>
      </c>
      <c r="DU12" s="4">
        <v>0</v>
      </c>
      <c r="DV12" s="4">
        <v>0</v>
      </c>
      <c r="DW12" s="4">
        <v>0</v>
      </c>
      <c r="DX12" s="4">
        <v>0</v>
      </c>
      <c r="DY12" s="4">
        <v>0</v>
      </c>
      <c r="DZ12" s="4">
        <v>0</v>
      </c>
      <c r="EA12" s="4">
        <v>0</v>
      </c>
      <c r="EB12" s="4">
        <v>0</v>
      </c>
      <c r="EC12" s="4">
        <v>0</v>
      </c>
      <c r="ED12" s="4">
        <v>0</v>
      </c>
      <c r="EE12" s="4">
        <v>0</v>
      </c>
      <c r="EF12" s="4">
        <v>6.0580801098026154</v>
      </c>
      <c r="EG12" s="4">
        <v>0</v>
      </c>
      <c r="EH12" s="4">
        <v>0</v>
      </c>
      <c r="EI12" s="4">
        <v>0</v>
      </c>
      <c r="EJ12" s="4">
        <v>0</v>
      </c>
      <c r="EK12" s="4">
        <v>0</v>
      </c>
      <c r="EL12" s="4">
        <v>0</v>
      </c>
      <c r="EM12" s="4">
        <v>0</v>
      </c>
      <c r="EN12" s="4">
        <v>0</v>
      </c>
      <c r="EO12" s="4">
        <v>39.77717997348082</v>
      </c>
      <c r="EP12" s="4">
        <v>0</v>
      </c>
      <c r="EQ12" s="4">
        <v>0</v>
      </c>
      <c r="ER12" s="4">
        <v>0</v>
      </c>
      <c r="ES12" s="4">
        <v>0</v>
      </c>
      <c r="ET12" s="4">
        <v>0</v>
      </c>
      <c r="EU12" s="4">
        <v>0</v>
      </c>
      <c r="EV12" s="4">
        <v>0</v>
      </c>
      <c r="EW12" s="4">
        <v>0</v>
      </c>
      <c r="EX12" s="4">
        <v>0</v>
      </c>
      <c r="EY12" s="4">
        <v>0</v>
      </c>
      <c r="EZ12" s="4">
        <v>0</v>
      </c>
    </row>
    <row r="13" spans="2:156" x14ac:dyDescent="0.35">
      <c r="B13" s="11">
        <v>3</v>
      </c>
      <c r="C13" s="11">
        <v>6</v>
      </c>
      <c r="D13" s="12" t="s">
        <v>172</v>
      </c>
      <c r="E13" s="3" t="s">
        <v>178</v>
      </c>
      <c r="F13" s="6">
        <v>3171.7995045787784</v>
      </c>
      <c r="G13" s="4">
        <v>0</v>
      </c>
      <c r="H13" s="4">
        <v>0</v>
      </c>
      <c r="I13" s="4">
        <v>182.03817207759309</v>
      </c>
      <c r="J13" s="4">
        <v>18.593790991915103</v>
      </c>
      <c r="K13" s="4">
        <v>6.3719193465072221</v>
      </c>
      <c r="L13" s="4">
        <v>116.12869011125966</v>
      </c>
      <c r="M13" s="4">
        <v>0</v>
      </c>
      <c r="N13" s="4">
        <v>0.94715127616701889</v>
      </c>
      <c r="O13" s="4">
        <v>0</v>
      </c>
      <c r="P13" s="4">
        <v>0</v>
      </c>
      <c r="Q13" s="4">
        <v>205.69346472957409</v>
      </c>
      <c r="R13" s="4">
        <v>0</v>
      </c>
      <c r="S13" s="4">
        <v>161.67128933191347</v>
      </c>
      <c r="T13" s="4">
        <v>18.542307523083082</v>
      </c>
      <c r="U13" s="4">
        <v>8.0298687964059496</v>
      </c>
      <c r="V13" s="4">
        <v>0.2672894873500653</v>
      </c>
      <c r="W13" s="4">
        <v>0.25046200375477107</v>
      </c>
      <c r="X13" s="4">
        <v>0</v>
      </c>
      <c r="Y13" s="4">
        <v>75.649873021408766</v>
      </c>
      <c r="Z13" s="4">
        <v>0</v>
      </c>
      <c r="AA13" s="4">
        <v>27.395583182995548</v>
      </c>
      <c r="AB13" s="4">
        <v>1.3436008992924613</v>
      </c>
      <c r="AC13" s="4">
        <v>1.4194120962630454</v>
      </c>
      <c r="AD13" s="4">
        <v>2.7908650610261057</v>
      </c>
      <c r="AE13" s="4">
        <v>5.2680273107711839</v>
      </c>
      <c r="AF13" s="4">
        <v>25.328374349685951</v>
      </c>
      <c r="AG13" s="4">
        <v>6.5894704733368439</v>
      </c>
      <c r="AH13" s="4">
        <v>0</v>
      </c>
      <c r="AI13" s="4">
        <v>50.988622500062085</v>
      </c>
      <c r="AJ13" s="4">
        <v>67.551748146216582</v>
      </c>
      <c r="AK13" s="4">
        <v>2.5595341919685985</v>
      </c>
      <c r="AL13" s="4">
        <v>0</v>
      </c>
      <c r="AM13" s="4">
        <v>0</v>
      </c>
      <c r="AN13" s="4">
        <v>0.32541442465026788</v>
      </c>
      <c r="AO13" s="4">
        <v>0</v>
      </c>
      <c r="AP13" s="4">
        <v>0.36370363243417286</v>
      </c>
      <c r="AQ13" s="4">
        <v>0</v>
      </c>
      <c r="AR13" s="4">
        <v>39.19354571692169</v>
      </c>
      <c r="AS13" s="4">
        <v>0</v>
      </c>
      <c r="AT13" s="4">
        <v>46.621271050806456</v>
      </c>
      <c r="AU13" s="4">
        <v>4.9167947580328732</v>
      </c>
      <c r="AV13" s="4">
        <v>38.034751130993286</v>
      </c>
      <c r="AW13" s="4">
        <v>0</v>
      </c>
      <c r="AX13" s="4">
        <v>6.732090185806956</v>
      </c>
      <c r="AY13" s="4">
        <v>8.2163387949319269</v>
      </c>
      <c r="AZ13" s="4">
        <v>0</v>
      </c>
      <c r="BA13" s="4">
        <v>3.364679032172099</v>
      </c>
      <c r="BB13" s="4">
        <v>21.519196538170018</v>
      </c>
      <c r="BC13" s="4">
        <v>2.3360250804078788</v>
      </c>
      <c r="BD13" s="4">
        <v>0</v>
      </c>
      <c r="BE13" s="4">
        <v>0.49096304816326902</v>
      </c>
      <c r="BF13" s="4">
        <v>3.3291327221288354</v>
      </c>
      <c r="BG13" s="4">
        <v>22.253992446931598</v>
      </c>
      <c r="BH13" s="4">
        <v>84.893072697332514</v>
      </c>
      <c r="BI13" s="4">
        <v>17.859092992907794</v>
      </c>
      <c r="BJ13" s="4">
        <v>0.16849820436946231</v>
      </c>
      <c r="BK13" s="4">
        <v>0.77914491395789209</v>
      </c>
      <c r="BL13" s="4">
        <v>2.9724190452676296</v>
      </c>
      <c r="BM13" s="4">
        <v>7.1880288978868911</v>
      </c>
      <c r="BN13" s="4">
        <v>13.443626087195078</v>
      </c>
      <c r="BO13" s="4">
        <v>0</v>
      </c>
      <c r="BP13" s="4">
        <v>0</v>
      </c>
      <c r="BQ13" s="4">
        <v>0</v>
      </c>
      <c r="BR13" s="4">
        <v>50.660952580146102</v>
      </c>
      <c r="BS13" s="4">
        <v>0</v>
      </c>
      <c r="BT13" s="4">
        <v>483.11254892164925</v>
      </c>
      <c r="BU13" s="4">
        <v>0</v>
      </c>
      <c r="BV13" s="4">
        <v>0</v>
      </c>
      <c r="BW13" s="4">
        <v>0</v>
      </c>
      <c r="BX13" s="4">
        <v>0</v>
      </c>
      <c r="BY13" s="4">
        <v>0</v>
      </c>
      <c r="BZ13" s="4">
        <v>0</v>
      </c>
      <c r="CA13" s="4">
        <v>66.241750492477053</v>
      </c>
      <c r="CB13" s="4">
        <v>-170.78272988190227</v>
      </c>
      <c r="CC13" s="4">
        <v>45.661697158066978</v>
      </c>
      <c r="CD13" s="4">
        <v>58.879282231358225</v>
      </c>
      <c r="CE13" s="4">
        <v>3.5280288831529698</v>
      </c>
      <c r="CF13" s="4">
        <v>0</v>
      </c>
      <c r="CG13" s="4">
        <v>0</v>
      </c>
      <c r="CH13" s="4">
        <v>0</v>
      </c>
      <c r="CI13" s="4">
        <v>26.375866873145121</v>
      </c>
      <c r="CJ13" s="4">
        <v>8.9527332565983215</v>
      </c>
      <c r="CK13" s="4">
        <v>30.405728882071379</v>
      </c>
      <c r="CL13" s="4">
        <v>0.89100921005833589</v>
      </c>
      <c r="CM13" s="4">
        <v>9.9880167819891117</v>
      </c>
      <c r="CN13" s="4">
        <v>5.8018403986169877</v>
      </c>
      <c r="CO13" s="4">
        <v>0</v>
      </c>
      <c r="CP13" s="4">
        <v>0</v>
      </c>
      <c r="CQ13" s="4">
        <v>4.1797785253675652</v>
      </c>
      <c r="CR13" s="4">
        <v>0.53004080615317117</v>
      </c>
      <c r="CS13" s="4">
        <v>9.9054022845216441</v>
      </c>
      <c r="CT13" s="4">
        <v>22.296664410617034</v>
      </c>
      <c r="CU13" s="4">
        <v>1.9180865081787948</v>
      </c>
      <c r="CV13" s="4">
        <v>0.78779729733185777</v>
      </c>
      <c r="CW13" s="4">
        <v>2.8302795738212287</v>
      </c>
      <c r="CX13" s="4">
        <v>3.4994074356396583</v>
      </c>
      <c r="CY13" s="4">
        <v>7.9980573902635914</v>
      </c>
      <c r="CZ13" s="4">
        <v>14.128308641413806</v>
      </c>
      <c r="DA13" s="4">
        <v>9.721420633159946</v>
      </c>
      <c r="DB13" s="4">
        <v>2.6092897902567724</v>
      </c>
      <c r="DC13" s="4">
        <v>6.4363776310498617E-3</v>
      </c>
      <c r="DD13" s="4">
        <v>2.1757817005228999</v>
      </c>
      <c r="DE13" s="4">
        <v>0.35875142938780297</v>
      </c>
      <c r="DF13" s="4">
        <v>0.15903471808529787</v>
      </c>
      <c r="DG13" s="4">
        <v>0.1496671187463004</v>
      </c>
      <c r="DH13" s="4">
        <v>2.6695284883676509</v>
      </c>
      <c r="DI13" s="4">
        <v>32.255091499688831</v>
      </c>
      <c r="DJ13" s="4">
        <v>0</v>
      </c>
      <c r="DK13" s="4">
        <v>0</v>
      </c>
      <c r="DL13" s="4">
        <v>0</v>
      </c>
      <c r="DM13" s="4">
        <v>8.9973257591357694</v>
      </c>
      <c r="DN13" s="4">
        <v>0.34926922398576599</v>
      </c>
      <c r="DO13" s="4">
        <v>0.6271524032431528</v>
      </c>
      <c r="DP13" s="4">
        <v>5.2498625622649397</v>
      </c>
      <c r="DQ13" s="4">
        <v>4.2171608802323277</v>
      </c>
      <c r="DR13" s="4">
        <v>0.34964544291597899</v>
      </c>
      <c r="DS13" s="4">
        <v>33.252597690692028</v>
      </c>
      <c r="DT13" s="4">
        <v>2.9616278633045372</v>
      </c>
      <c r="DU13" s="4">
        <v>9.652788301361381E-3</v>
      </c>
      <c r="DV13" s="4">
        <v>5.6390203282002709</v>
      </c>
      <c r="DW13" s="4">
        <v>10.558769154069823</v>
      </c>
      <c r="DX13" s="4">
        <v>-4.3767844491745436</v>
      </c>
      <c r="DY13" s="4">
        <v>12.534542682499158</v>
      </c>
      <c r="DZ13" s="4">
        <v>0</v>
      </c>
      <c r="EA13" s="4">
        <v>0</v>
      </c>
      <c r="EB13" s="4">
        <v>1.4787730852617829</v>
      </c>
      <c r="EC13" s="4">
        <v>1.1221081669497162</v>
      </c>
      <c r="ED13" s="4">
        <v>0.68825932672837231</v>
      </c>
      <c r="EE13" s="4">
        <v>24.900216640889212</v>
      </c>
      <c r="EF13" s="4">
        <v>28.452682408980586</v>
      </c>
      <c r="EG13" s="4">
        <v>71.452959031087204</v>
      </c>
      <c r="EH13" s="4">
        <v>188.36428108447316</v>
      </c>
      <c r="EI13" s="4">
        <v>2.3652052509625081</v>
      </c>
      <c r="EJ13" s="4">
        <v>0</v>
      </c>
      <c r="EK13" s="4">
        <v>0</v>
      </c>
      <c r="EL13" s="4">
        <v>0</v>
      </c>
      <c r="EM13" s="4">
        <v>0</v>
      </c>
      <c r="EN13" s="4">
        <v>0</v>
      </c>
      <c r="EO13" s="4">
        <v>83.626155543460555</v>
      </c>
      <c r="EP13" s="4">
        <v>0</v>
      </c>
      <c r="EQ13" s="4">
        <v>67.985097320051025</v>
      </c>
      <c r="ER13" s="4">
        <v>227.82510397152052</v>
      </c>
      <c r="ES13" s="4">
        <v>1.2668371072432247</v>
      </c>
      <c r="ET13" s="4">
        <v>30.475584727587258</v>
      </c>
      <c r="EU13" s="4">
        <v>257.51728321793439</v>
      </c>
      <c r="EV13" s="4">
        <v>8.9465240982382195</v>
      </c>
      <c r="EW13" s="4">
        <v>6.2425632473365198</v>
      </c>
      <c r="EX13" s="4">
        <v>0</v>
      </c>
      <c r="EY13" s="4">
        <v>-0.76425985568580446</v>
      </c>
      <c r="EZ13" s="4">
        <v>41.167439149488544</v>
      </c>
    </row>
    <row r="14" spans="2:156" x14ac:dyDescent="0.35">
      <c r="B14" s="11">
        <v>3</v>
      </c>
      <c r="C14" s="11">
        <v>7</v>
      </c>
      <c r="D14" s="12" t="s">
        <v>172</v>
      </c>
      <c r="E14" s="3" t="s">
        <v>179</v>
      </c>
      <c r="F14" s="6">
        <v>3379.0943704192268</v>
      </c>
      <c r="G14" s="4">
        <v>0</v>
      </c>
      <c r="H14" s="4">
        <v>0</v>
      </c>
      <c r="I14" s="4">
        <v>86.841374453949356</v>
      </c>
      <c r="J14" s="4">
        <v>36.666358102778617</v>
      </c>
      <c r="K14" s="4">
        <v>0</v>
      </c>
      <c r="L14" s="4">
        <v>116.75340343253188</v>
      </c>
      <c r="M14" s="4">
        <v>0</v>
      </c>
      <c r="N14" s="4">
        <v>0</v>
      </c>
      <c r="O14" s="4">
        <v>0</v>
      </c>
      <c r="P14" s="4">
        <v>0</v>
      </c>
      <c r="Q14" s="4">
        <v>64.648578760162295</v>
      </c>
      <c r="R14" s="4">
        <v>0</v>
      </c>
      <c r="S14" s="4">
        <v>114.82359511133301</v>
      </c>
      <c r="T14" s="4">
        <v>28.947124817983113</v>
      </c>
      <c r="U14" s="4">
        <v>22.192795693787051</v>
      </c>
      <c r="V14" s="4">
        <v>0</v>
      </c>
      <c r="W14" s="4">
        <v>1.9298083211988744</v>
      </c>
      <c r="X14" s="4">
        <v>0</v>
      </c>
      <c r="Y14" s="4">
        <v>47.280303869372403</v>
      </c>
      <c r="Z14" s="4">
        <v>0</v>
      </c>
      <c r="AA14" s="4">
        <v>39.561070584576925</v>
      </c>
      <c r="AB14" s="4">
        <v>0.96490416059943707</v>
      </c>
      <c r="AC14" s="4">
        <v>0</v>
      </c>
      <c r="AD14" s="4">
        <v>17.36827489078987</v>
      </c>
      <c r="AE14" s="4">
        <v>0</v>
      </c>
      <c r="AF14" s="4">
        <v>69.473099563159479</v>
      </c>
      <c r="AG14" s="4">
        <v>21.22789153318762</v>
      </c>
      <c r="AH14" s="4">
        <v>0</v>
      </c>
      <c r="AI14" s="4">
        <v>42.45578306637524</v>
      </c>
      <c r="AJ14" s="4">
        <v>68.508195402560062</v>
      </c>
      <c r="AK14" s="4">
        <v>10.613945766593808</v>
      </c>
      <c r="AL14" s="4">
        <v>0</v>
      </c>
      <c r="AM14" s="4">
        <v>0</v>
      </c>
      <c r="AN14" s="4">
        <v>0.96490416059943707</v>
      </c>
      <c r="AO14" s="4">
        <v>2.8947124817983112</v>
      </c>
      <c r="AP14" s="4">
        <v>4.8245208029971849</v>
      </c>
      <c r="AQ14" s="4">
        <v>0</v>
      </c>
      <c r="AR14" s="4">
        <v>14.473562408991556</v>
      </c>
      <c r="AS14" s="4">
        <v>0</v>
      </c>
      <c r="AT14" s="4">
        <v>233.50680686506377</v>
      </c>
      <c r="AU14" s="4">
        <v>4.8245208029971849</v>
      </c>
      <c r="AV14" s="4">
        <v>18.333179051389305</v>
      </c>
      <c r="AW14" s="4">
        <v>0</v>
      </c>
      <c r="AX14" s="4">
        <v>12.543754087792683</v>
      </c>
      <c r="AY14" s="4">
        <v>0</v>
      </c>
      <c r="AZ14" s="4">
        <v>0</v>
      </c>
      <c r="BA14" s="4">
        <v>2.8947124817983116</v>
      </c>
      <c r="BB14" s="4">
        <v>30.876933139181986</v>
      </c>
      <c r="BC14" s="4">
        <v>0.96490416059943707</v>
      </c>
      <c r="BD14" s="4">
        <v>100.35003270234144</v>
      </c>
      <c r="BE14" s="4">
        <v>0</v>
      </c>
      <c r="BF14" s="4">
        <v>0</v>
      </c>
      <c r="BG14" s="4">
        <v>0</v>
      </c>
      <c r="BH14" s="4">
        <v>123.50773255672796</v>
      </c>
      <c r="BI14" s="4">
        <v>0</v>
      </c>
      <c r="BJ14" s="4">
        <v>0</v>
      </c>
      <c r="BK14" s="4">
        <v>0</v>
      </c>
      <c r="BL14" s="4">
        <v>0</v>
      </c>
      <c r="BM14" s="4">
        <v>0</v>
      </c>
      <c r="BN14" s="4">
        <v>0</v>
      </c>
      <c r="BO14" s="4">
        <v>0</v>
      </c>
      <c r="BP14" s="4">
        <v>0</v>
      </c>
      <c r="BQ14" s="4">
        <v>0</v>
      </c>
      <c r="BR14" s="4">
        <v>182.36688635329358</v>
      </c>
      <c r="BS14" s="4">
        <v>0</v>
      </c>
      <c r="BT14" s="4">
        <v>44.385591387574102</v>
      </c>
      <c r="BU14" s="4">
        <v>0</v>
      </c>
      <c r="BV14" s="4">
        <v>0</v>
      </c>
      <c r="BW14" s="4">
        <v>0</v>
      </c>
      <c r="BX14" s="4">
        <v>0</v>
      </c>
      <c r="BY14" s="4">
        <v>6.7543291241960599</v>
      </c>
      <c r="BZ14" s="4">
        <v>0</v>
      </c>
      <c r="CA14" s="4">
        <v>2.8947124817983112</v>
      </c>
      <c r="CB14" s="4">
        <v>-4.8245208029971858</v>
      </c>
      <c r="CC14" s="4">
        <v>1.9298083211988741</v>
      </c>
      <c r="CD14" s="4">
        <v>1.9298083211988741</v>
      </c>
      <c r="CE14" s="4">
        <v>1.9298083211988741</v>
      </c>
      <c r="CF14" s="4">
        <v>0</v>
      </c>
      <c r="CG14" s="4">
        <v>0</v>
      </c>
      <c r="CH14" s="4">
        <v>0</v>
      </c>
      <c r="CI14" s="4">
        <v>25.087508175585366</v>
      </c>
      <c r="CJ14" s="4">
        <v>24.122604014985928</v>
      </c>
      <c r="CK14" s="4">
        <v>67.543291241960603</v>
      </c>
      <c r="CL14" s="4">
        <v>11.578849927193247</v>
      </c>
      <c r="CM14" s="4">
        <v>32.806741460380856</v>
      </c>
      <c r="CN14" s="4">
        <v>8.6841374453949349</v>
      </c>
      <c r="CO14" s="4">
        <v>0</v>
      </c>
      <c r="CP14" s="4">
        <v>0</v>
      </c>
      <c r="CQ14" s="4">
        <v>55.964441314767342</v>
      </c>
      <c r="CR14" s="4">
        <v>36.666358102778609</v>
      </c>
      <c r="CS14" s="4">
        <v>34.73654978157974</v>
      </c>
      <c r="CT14" s="4">
        <v>102.27984102354034</v>
      </c>
      <c r="CU14" s="4">
        <v>17.368274890789863</v>
      </c>
      <c r="CV14" s="4">
        <v>17.36827489078987</v>
      </c>
      <c r="CW14" s="4">
        <v>19.29808321198875</v>
      </c>
      <c r="CX14" s="4">
        <v>11.578849927193245</v>
      </c>
      <c r="CY14" s="4">
        <v>9.6490416059943698</v>
      </c>
      <c r="CZ14" s="4">
        <v>7.7192332847954965</v>
      </c>
      <c r="DA14" s="4">
        <v>0</v>
      </c>
      <c r="DB14" s="4">
        <v>8.6841374453949332</v>
      </c>
      <c r="DC14" s="4">
        <v>0</v>
      </c>
      <c r="DD14" s="4">
        <v>4.8245208029971858</v>
      </c>
      <c r="DE14" s="4">
        <v>10.61394576659381</v>
      </c>
      <c r="DF14" s="4">
        <v>4.8245208029971849</v>
      </c>
      <c r="DG14" s="4">
        <v>3.8596166423977487</v>
      </c>
      <c r="DH14" s="4">
        <v>67.543291241960603</v>
      </c>
      <c r="DI14" s="4">
        <v>30.87693313918199</v>
      </c>
      <c r="DJ14" s="4">
        <v>0</v>
      </c>
      <c r="DK14" s="4">
        <v>0</v>
      </c>
      <c r="DL14" s="4">
        <v>0</v>
      </c>
      <c r="DM14" s="4">
        <v>51.139920511770171</v>
      </c>
      <c r="DN14" s="4">
        <v>7.7192332847954974</v>
      </c>
      <c r="DO14" s="4">
        <v>8.6841374453949332</v>
      </c>
      <c r="DP14" s="4">
        <v>20.262987372588182</v>
      </c>
      <c r="DQ14" s="4">
        <v>28.947124817983113</v>
      </c>
      <c r="DR14" s="4">
        <v>17.368274890789866</v>
      </c>
      <c r="DS14" s="4">
        <v>69.473099563159451</v>
      </c>
      <c r="DT14" s="4">
        <v>20.262987372588182</v>
      </c>
      <c r="DU14" s="4">
        <v>56.929345475366787</v>
      </c>
      <c r="DV14" s="4">
        <v>0</v>
      </c>
      <c r="DW14" s="4">
        <v>0</v>
      </c>
      <c r="DX14" s="4">
        <v>0</v>
      </c>
      <c r="DY14" s="4">
        <v>0</v>
      </c>
      <c r="DZ14" s="4">
        <v>0</v>
      </c>
      <c r="EA14" s="4">
        <v>0</v>
      </c>
      <c r="EB14" s="4">
        <v>0</v>
      </c>
      <c r="EC14" s="4">
        <v>0</v>
      </c>
      <c r="ED14" s="4">
        <v>0</v>
      </c>
      <c r="EE14" s="4">
        <v>8.6841374453949332</v>
      </c>
      <c r="EF14" s="4">
        <v>19.298083211988743</v>
      </c>
      <c r="EG14" s="4">
        <v>61.753866278363979</v>
      </c>
      <c r="EH14" s="4">
        <v>306.83952307062106</v>
      </c>
      <c r="EI14" s="4">
        <v>6.7543291241960599</v>
      </c>
      <c r="EJ14" s="4">
        <v>0</v>
      </c>
      <c r="EK14" s="4">
        <v>0.96490416059943707</v>
      </c>
      <c r="EL14" s="4">
        <v>0</v>
      </c>
      <c r="EM14" s="4">
        <v>0.96490416059943707</v>
      </c>
      <c r="EN14" s="4">
        <v>0</v>
      </c>
      <c r="EO14" s="4">
        <v>109.0341701477364</v>
      </c>
      <c r="EP14" s="4">
        <v>0</v>
      </c>
      <c r="EQ14" s="4">
        <v>10.613945766593808</v>
      </c>
      <c r="ER14" s="4">
        <v>185.26159883509189</v>
      </c>
      <c r="ES14" s="4">
        <v>0</v>
      </c>
      <c r="ET14" s="4">
        <v>34.73654978157974</v>
      </c>
      <c r="EU14" s="4">
        <v>131.22696584152348</v>
      </c>
      <c r="EV14" s="4">
        <v>3.8596166423977483</v>
      </c>
      <c r="EW14" s="4">
        <v>22.192795693787055</v>
      </c>
      <c r="EX14" s="4">
        <v>0</v>
      </c>
      <c r="EY14" s="4">
        <v>0</v>
      </c>
      <c r="EZ14" s="4">
        <v>3.8596166423977483</v>
      </c>
    </row>
    <row r="15" spans="2:156" x14ac:dyDescent="0.35">
      <c r="B15" s="11">
        <v>3</v>
      </c>
      <c r="C15" s="11">
        <v>8</v>
      </c>
      <c r="D15" s="12" t="s">
        <v>172</v>
      </c>
      <c r="E15" s="3" t="s">
        <v>180</v>
      </c>
      <c r="F15" s="6">
        <v>1436.4359900830068</v>
      </c>
      <c r="G15" s="4">
        <v>0</v>
      </c>
      <c r="H15" s="4">
        <v>0</v>
      </c>
      <c r="I15" s="4">
        <v>23.437324791253978</v>
      </c>
      <c r="J15" s="4">
        <v>14.379550878670383</v>
      </c>
      <c r="K15" s="4">
        <v>0</v>
      </c>
      <c r="L15" s="4">
        <v>40.872918429478382</v>
      </c>
      <c r="M15" s="4">
        <v>1.0702224265450133</v>
      </c>
      <c r="N15" s="4">
        <v>1.6219169010388605</v>
      </c>
      <c r="O15" s="4">
        <v>0</v>
      </c>
      <c r="P15" s="4">
        <v>0</v>
      </c>
      <c r="Q15" s="4">
        <v>10.041830049377863</v>
      </c>
      <c r="R15" s="4">
        <v>0</v>
      </c>
      <c r="S15" s="4">
        <v>58.744947260214005</v>
      </c>
      <c r="T15" s="4">
        <v>12.411336688641819</v>
      </c>
      <c r="U15" s="4">
        <v>15.136777031759108</v>
      </c>
      <c r="V15" s="4">
        <v>1.6429786026915014</v>
      </c>
      <c r="W15" s="4">
        <v>0.91379377571724707</v>
      </c>
      <c r="X15" s="4">
        <v>0</v>
      </c>
      <c r="Y15" s="4">
        <v>13.086631413192432</v>
      </c>
      <c r="Z15" s="4">
        <v>0</v>
      </c>
      <c r="AA15" s="4">
        <v>41.348204888283227</v>
      </c>
      <c r="AB15" s="4">
        <v>0</v>
      </c>
      <c r="AC15" s="4">
        <v>3.8302777604072733</v>
      </c>
      <c r="AD15" s="4">
        <v>2.9295295812369604</v>
      </c>
      <c r="AE15" s="4">
        <v>0.57411037829252476</v>
      </c>
      <c r="AF15" s="4">
        <v>31.515102847526453</v>
      </c>
      <c r="AG15" s="4">
        <v>4.6853483579244921</v>
      </c>
      <c r="AH15" s="4">
        <v>0</v>
      </c>
      <c r="AI15" s="4">
        <v>5.3540884090277041</v>
      </c>
      <c r="AJ15" s="4">
        <v>14.844576177411575</v>
      </c>
      <c r="AK15" s="4">
        <v>4.1437688316759234</v>
      </c>
      <c r="AL15" s="4">
        <v>0</v>
      </c>
      <c r="AM15" s="4">
        <v>0</v>
      </c>
      <c r="AN15" s="4">
        <v>0</v>
      </c>
      <c r="AO15" s="4">
        <v>2.524442323285963</v>
      </c>
      <c r="AP15" s="4">
        <v>5.9332223466653797</v>
      </c>
      <c r="AQ15" s="4">
        <v>0</v>
      </c>
      <c r="AR15" s="4">
        <v>4.3374906966713178</v>
      </c>
      <c r="AS15" s="4">
        <v>0</v>
      </c>
      <c r="AT15" s="4">
        <v>47.595314577815827</v>
      </c>
      <c r="AU15" s="4">
        <v>0.52295856924794459</v>
      </c>
      <c r="AV15" s="4">
        <v>13.6714503383979</v>
      </c>
      <c r="AW15" s="4">
        <v>0</v>
      </c>
      <c r="AX15" s="4">
        <v>1.7445952440596684</v>
      </c>
      <c r="AY15" s="4">
        <v>6.8725178332082999</v>
      </c>
      <c r="AZ15" s="4">
        <v>0</v>
      </c>
      <c r="BA15" s="4">
        <v>1.0334104907668431</v>
      </c>
      <c r="BB15" s="4">
        <v>9.6379625656611214</v>
      </c>
      <c r="BC15" s="4">
        <v>0</v>
      </c>
      <c r="BD15" s="4">
        <v>4.0368434717200028</v>
      </c>
      <c r="BE15" s="4">
        <v>3.600259188405063</v>
      </c>
      <c r="BF15" s="4">
        <v>1.1555744228839808</v>
      </c>
      <c r="BG15" s="4">
        <v>9.2908661437041591</v>
      </c>
      <c r="BH15" s="4">
        <v>30.273803227049356</v>
      </c>
      <c r="BI15" s="4">
        <v>0</v>
      </c>
      <c r="BJ15" s="4">
        <v>0</v>
      </c>
      <c r="BK15" s="4">
        <v>0</v>
      </c>
      <c r="BL15" s="4">
        <v>0</v>
      </c>
      <c r="BM15" s="4">
        <v>0</v>
      </c>
      <c r="BN15" s="4">
        <v>0</v>
      </c>
      <c r="BO15" s="4">
        <v>0</v>
      </c>
      <c r="BP15" s="4">
        <v>0</v>
      </c>
      <c r="BQ15" s="4">
        <v>0</v>
      </c>
      <c r="BR15" s="4">
        <v>79.597275977732423</v>
      </c>
      <c r="BS15" s="4">
        <v>0</v>
      </c>
      <c r="BT15" s="4">
        <v>30.24306217442626</v>
      </c>
      <c r="BU15" s="4">
        <v>0</v>
      </c>
      <c r="BV15" s="4">
        <v>0</v>
      </c>
      <c r="BW15" s="4">
        <v>0</v>
      </c>
      <c r="BX15" s="4">
        <v>0</v>
      </c>
      <c r="BY15" s="4">
        <v>0</v>
      </c>
      <c r="BZ15" s="4">
        <v>0</v>
      </c>
      <c r="CA15" s="4">
        <v>0</v>
      </c>
      <c r="CB15" s="4">
        <v>0</v>
      </c>
      <c r="CC15" s="4">
        <v>0</v>
      </c>
      <c r="CD15" s="4">
        <v>0</v>
      </c>
      <c r="CE15" s="4">
        <v>1.2276399204512904</v>
      </c>
      <c r="CF15" s="4">
        <v>0</v>
      </c>
      <c r="CG15" s="4">
        <v>0</v>
      </c>
      <c r="CH15" s="4">
        <v>0</v>
      </c>
      <c r="CI15" s="4">
        <v>5.4686492534476132</v>
      </c>
      <c r="CJ15" s="4">
        <v>7.5479623698133747</v>
      </c>
      <c r="CK15" s="4">
        <v>29.89052874824527</v>
      </c>
      <c r="CL15" s="4">
        <v>4.6276777408406025</v>
      </c>
      <c r="CM15" s="4">
        <v>10.428290932288862</v>
      </c>
      <c r="CN15" s="4">
        <v>1.6341154967861657</v>
      </c>
      <c r="CO15" s="4">
        <v>0</v>
      </c>
      <c r="CP15" s="4">
        <v>0</v>
      </c>
      <c r="CQ15" s="4">
        <v>21.086228480541344</v>
      </c>
      <c r="CR15" s="4">
        <v>9.0175263423044107</v>
      </c>
      <c r="CS15" s="4">
        <v>7.764374999132321</v>
      </c>
      <c r="CT15" s="4">
        <v>33.612607207225544</v>
      </c>
      <c r="CU15" s="4">
        <v>0.92615708698030041</v>
      </c>
      <c r="CV15" s="4">
        <v>1.1764301460436208</v>
      </c>
      <c r="CW15" s="4">
        <v>3.5874618561420615</v>
      </c>
      <c r="CX15" s="4">
        <v>3.8370324712000747</v>
      </c>
      <c r="CY15" s="4">
        <v>10.423483352942768</v>
      </c>
      <c r="CZ15" s="4">
        <v>0.54752516429444786</v>
      </c>
      <c r="DA15" s="4">
        <v>3.7802002239848558</v>
      </c>
      <c r="DB15" s="4">
        <v>3.4060575172497582</v>
      </c>
      <c r="DC15" s="4">
        <v>0.80321040107848973</v>
      </c>
      <c r="DD15" s="4">
        <v>2.0664120969418938</v>
      </c>
      <c r="DE15" s="4">
        <v>6.4302293794980221</v>
      </c>
      <c r="DF15" s="4">
        <v>1.8341630792787744</v>
      </c>
      <c r="DG15" s="4">
        <v>1.2373835928076462</v>
      </c>
      <c r="DH15" s="4">
        <v>0</v>
      </c>
      <c r="DI15" s="4">
        <v>1.9613609387761115</v>
      </c>
      <c r="DJ15" s="4">
        <v>-6.1336066991448304</v>
      </c>
      <c r="DK15" s="4">
        <v>0</v>
      </c>
      <c r="DL15" s="4">
        <v>0</v>
      </c>
      <c r="DM15" s="4">
        <v>16.821931887443935</v>
      </c>
      <c r="DN15" s="4">
        <v>1.5752343328569229</v>
      </c>
      <c r="DO15" s="4">
        <v>4.7020929939267031</v>
      </c>
      <c r="DP15" s="4">
        <v>8.001059198591939</v>
      </c>
      <c r="DQ15" s="4">
        <v>5.482279003762641</v>
      </c>
      <c r="DR15" s="4">
        <v>4.1097693954685575</v>
      </c>
      <c r="DS15" s="4">
        <v>20.756023261565652</v>
      </c>
      <c r="DT15" s="4">
        <v>4.7908363005278813</v>
      </c>
      <c r="DU15" s="4">
        <v>1.8647041355724734</v>
      </c>
      <c r="DV15" s="4">
        <v>15.324812268707364</v>
      </c>
      <c r="DW15" s="4">
        <v>0</v>
      </c>
      <c r="DX15" s="4">
        <v>0</v>
      </c>
      <c r="DY15" s="4">
        <v>0</v>
      </c>
      <c r="DZ15" s="4">
        <v>0</v>
      </c>
      <c r="EA15" s="4">
        <v>3.5434651122859409</v>
      </c>
      <c r="EB15" s="4">
        <v>2.5636428308402786</v>
      </c>
      <c r="EC15" s="4">
        <v>2.2823880684210058</v>
      </c>
      <c r="ED15" s="4">
        <v>0</v>
      </c>
      <c r="EE15" s="4">
        <v>2.0748982440190957</v>
      </c>
      <c r="EF15" s="4">
        <v>10.65928598946328</v>
      </c>
      <c r="EG15" s="4">
        <v>0</v>
      </c>
      <c r="EH15" s="4">
        <v>362.20617044631837</v>
      </c>
      <c r="EI15" s="4">
        <v>0</v>
      </c>
      <c r="EJ15" s="4">
        <v>0</v>
      </c>
      <c r="EK15" s="4">
        <v>0</v>
      </c>
      <c r="EL15" s="4">
        <v>0</v>
      </c>
      <c r="EM15" s="4">
        <v>0</v>
      </c>
      <c r="EN15" s="4">
        <v>0</v>
      </c>
      <c r="EO15" s="4">
        <v>72.974324554077242</v>
      </c>
      <c r="EP15" s="4">
        <v>0</v>
      </c>
      <c r="EQ15" s="4">
        <v>0</v>
      </c>
      <c r="ER15" s="4">
        <v>65.648533196375098</v>
      </c>
      <c r="ES15" s="4">
        <v>0</v>
      </c>
      <c r="ET15" s="4">
        <v>23.544191984112405</v>
      </c>
      <c r="EU15" s="4">
        <v>59.159037644973637</v>
      </c>
      <c r="EV15" s="4">
        <v>10.184911225703164</v>
      </c>
      <c r="EW15" s="4">
        <v>15.286699846128492</v>
      </c>
      <c r="EX15" s="4">
        <v>0</v>
      </c>
      <c r="EY15" s="4">
        <v>0</v>
      </c>
      <c r="EZ15" s="4">
        <v>3.4310990645927318E-2</v>
      </c>
    </row>
    <row r="16" spans="2:156" ht="29" x14ac:dyDescent="0.35">
      <c r="B16" s="11">
        <v>3</v>
      </c>
      <c r="C16" s="11">
        <v>9</v>
      </c>
      <c r="D16" s="12" t="s">
        <v>181</v>
      </c>
      <c r="E16" s="3" t="s">
        <v>182</v>
      </c>
      <c r="F16" s="6">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c r="BO16" s="4">
        <v>0</v>
      </c>
      <c r="BP16" s="4">
        <v>0</v>
      </c>
      <c r="BQ16" s="4">
        <v>0</v>
      </c>
      <c r="BR16" s="4">
        <v>0</v>
      </c>
      <c r="BS16" s="4">
        <v>0</v>
      </c>
      <c r="BT16" s="4">
        <v>0</v>
      </c>
      <c r="BU16" s="4">
        <v>0</v>
      </c>
      <c r="BV16" s="4">
        <v>0</v>
      </c>
      <c r="BW16" s="4">
        <v>0</v>
      </c>
      <c r="BX16" s="4">
        <v>0</v>
      </c>
      <c r="BY16" s="4">
        <v>0</v>
      </c>
      <c r="BZ16" s="4">
        <v>0</v>
      </c>
      <c r="CA16" s="4">
        <v>0</v>
      </c>
      <c r="CB16" s="4">
        <v>0</v>
      </c>
      <c r="CC16" s="4">
        <v>0</v>
      </c>
      <c r="CD16" s="4">
        <v>0</v>
      </c>
      <c r="CE16" s="4">
        <v>0</v>
      </c>
      <c r="CF16" s="4">
        <v>0</v>
      </c>
      <c r="CG16" s="4">
        <v>0</v>
      </c>
      <c r="CH16" s="4">
        <v>0</v>
      </c>
      <c r="CI16" s="4">
        <v>0</v>
      </c>
      <c r="CJ16" s="4">
        <v>0</v>
      </c>
      <c r="CK16" s="4">
        <v>0</v>
      </c>
      <c r="CL16" s="4">
        <v>0</v>
      </c>
      <c r="CM16" s="4">
        <v>0</v>
      </c>
      <c r="CN16" s="4">
        <v>0</v>
      </c>
      <c r="CO16" s="4">
        <v>0</v>
      </c>
      <c r="CP16" s="4">
        <v>0</v>
      </c>
      <c r="CQ16" s="4">
        <v>0</v>
      </c>
      <c r="CR16" s="4">
        <v>0</v>
      </c>
      <c r="CS16" s="4">
        <v>0</v>
      </c>
      <c r="CT16" s="4">
        <v>0</v>
      </c>
      <c r="CU16" s="4">
        <v>0</v>
      </c>
      <c r="CV16" s="4">
        <v>0</v>
      </c>
      <c r="CW16" s="4">
        <v>0</v>
      </c>
      <c r="CX16" s="4">
        <v>0</v>
      </c>
      <c r="CY16" s="4">
        <v>0</v>
      </c>
      <c r="CZ16" s="4">
        <v>0</v>
      </c>
      <c r="DA16" s="4">
        <v>0</v>
      </c>
      <c r="DB16" s="4">
        <v>0</v>
      </c>
      <c r="DC16" s="4">
        <v>0</v>
      </c>
      <c r="DD16" s="4">
        <v>0</v>
      </c>
      <c r="DE16" s="4">
        <v>0</v>
      </c>
      <c r="DF16" s="4">
        <v>0</v>
      </c>
      <c r="DG16" s="4">
        <v>0</v>
      </c>
      <c r="DH16" s="4">
        <v>0</v>
      </c>
      <c r="DI16" s="4">
        <v>0</v>
      </c>
      <c r="DJ16" s="4">
        <v>0</v>
      </c>
      <c r="DK16" s="4">
        <v>0</v>
      </c>
      <c r="DL16" s="4">
        <v>0</v>
      </c>
      <c r="DM16" s="4">
        <v>0</v>
      </c>
      <c r="DN16" s="4">
        <v>0</v>
      </c>
      <c r="DO16" s="4">
        <v>0</v>
      </c>
      <c r="DP16" s="4">
        <v>0</v>
      </c>
      <c r="DQ16" s="4">
        <v>0</v>
      </c>
      <c r="DR16" s="4">
        <v>0</v>
      </c>
      <c r="DS16" s="4">
        <v>0</v>
      </c>
      <c r="DT16" s="4">
        <v>0</v>
      </c>
      <c r="DU16" s="4">
        <v>0</v>
      </c>
      <c r="DV16" s="4">
        <v>0</v>
      </c>
      <c r="DW16" s="4">
        <v>0</v>
      </c>
      <c r="DX16" s="4">
        <v>0</v>
      </c>
      <c r="DY16" s="4">
        <v>0</v>
      </c>
      <c r="DZ16" s="4">
        <v>0</v>
      </c>
      <c r="EA16" s="4">
        <v>0</v>
      </c>
      <c r="EB16" s="4">
        <v>0</v>
      </c>
      <c r="EC16" s="4">
        <v>0</v>
      </c>
      <c r="ED16" s="4">
        <v>0</v>
      </c>
      <c r="EE16" s="4">
        <v>0</v>
      </c>
      <c r="EF16" s="4">
        <v>0</v>
      </c>
      <c r="EG16" s="4">
        <v>0</v>
      </c>
      <c r="EH16" s="4">
        <v>0</v>
      </c>
      <c r="EI16" s="4">
        <v>0</v>
      </c>
      <c r="EJ16" s="4">
        <v>0</v>
      </c>
      <c r="EK16" s="4">
        <v>0</v>
      </c>
      <c r="EL16" s="4">
        <v>0</v>
      </c>
      <c r="EM16" s="4">
        <v>0</v>
      </c>
      <c r="EN16" s="4">
        <v>0</v>
      </c>
      <c r="EO16" s="4">
        <v>0</v>
      </c>
      <c r="EP16" s="4">
        <v>0</v>
      </c>
      <c r="EQ16" s="4">
        <v>0</v>
      </c>
      <c r="ER16" s="4">
        <v>0</v>
      </c>
      <c r="ES16" s="4">
        <v>0</v>
      </c>
      <c r="ET16" s="4">
        <v>0</v>
      </c>
      <c r="EU16" s="4">
        <v>0</v>
      </c>
      <c r="EV16" s="4">
        <v>0</v>
      </c>
      <c r="EW16" s="4">
        <v>0</v>
      </c>
      <c r="EX16" s="4">
        <v>0</v>
      </c>
      <c r="EY16" s="4">
        <v>0</v>
      </c>
      <c r="EZ16" s="4">
        <v>0</v>
      </c>
    </row>
    <row r="17" spans="2:156" x14ac:dyDescent="0.35">
      <c r="B17" s="11">
        <v>3</v>
      </c>
      <c r="C17" s="11">
        <v>10</v>
      </c>
      <c r="D17" s="12" t="s">
        <v>181</v>
      </c>
      <c r="E17" s="3" t="s">
        <v>183</v>
      </c>
      <c r="F17" s="6">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c r="BO17" s="4">
        <v>0</v>
      </c>
      <c r="BP17" s="4">
        <v>0</v>
      </c>
      <c r="BQ17" s="4">
        <v>0</v>
      </c>
      <c r="BR17" s="4">
        <v>0</v>
      </c>
      <c r="BS17" s="4">
        <v>0</v>
      </c>
      <c r="BT17" s="4">
        <v>0</v>
      </c>
      <c r="BU17" s="4">
        <v>0</v>
      </c>
      <c r="BV17" s="4">
        <v>0</v>
      </c>
      <c r="BW17" s="4">
        <v>0</v>
      </c>
      <c r="BX17" s="4">
        <v>0</v>
      </c>
      <c r="BY17" s="4">
        <v>0</v>
      </c>
      <c r="BZ17" s="4">
        <v>0</v>
      </c>
      <c r="CA17" s="4">
        <v>0</v>
      </c>
      <c r="CB17" s="4">
        <v>0</v>
      </c>
      <c r="CC17" s="4">
        <v>0</v>
      </c>
      <c r="CD17" s="4">
        <v>0</v>
      </c>
      <c r="CE17" s="4">
        <v>0</v>
      </c>
      <c r="CF17" s="4">
        <v>0</v>
      </c>
      <c r="CG17" s="4">
        <v>0</v>
      </c>
      <c r="CH17" s="4">
        <v>0</v>
      </c>
      <c r="CI17" s="4">
        <v>0</v>
      </c>
      <c r="CJ17" s="4">
        <v>0</v>
      </c>
      <c r="CK17" s="4">
        <v>0</v>
      </c>
      <c r="CL17" s="4">
        <v>0</v>
      </c>
      <c r="CM17" s="4">
        <v>0</v>
      </c>
      <c r="CN17" s="4">
        <v>0</v>
      </c>
      <c r="CO17" s="4">
        <v>0</v>
      </c>
      <c r="CP17" s="4">
        <v>0</v>
      </c>
      <c r="CQ17" s="4">
        <v>0</v>
      </c>
      <c r="CR17" s="4">
        <v>0</v>
      </c>
      <c r="CS17" s="4">
        <v>0</v>
      </c>
      <c r="CT17" s="4">
        <v>0</v>
      </c>
      <c r="CU17" s="4">
        <v>0</v>
      </c>
      <c r="CV17" s="4">
        <v>0</v>
      </c>
      <c r="CW17" s="4">
        <v>0</v>
      </c>
      <c r="CX17" s="4">
        <v>0</v>
      </c>
      <c r="CY17" s="4">
        <v>0</v>
      </c>
      <c r="CZ17" s="4">
        <v>0</v>
      </c>
      <c r="DA17" s="4">
        <v>0</v>
      </c>
      <c r="DB17" s="4">
        <v>0</v>
      </c>
      <c r="DC17" s="4">
        <v>0</v>
      </c>
      <c r="DD17" s="4">
        <v>0</v>
      </c>
      <c r="DE17" s="4">
        <v>0</v>
      </c>
      <c r="DF17" s="4">
        <v>0</v>
      </c>
      <c r="DG17" s="4">
        <v>0</v>
      </c>
      <c r="DH17" s="4">
        <v>0</v>
      </c>
      <c r="DI17" s="4">
        <v>0</v>
      </c>
      <c r="DJ17" s="4">
        <v>0</v>
      </c>
      <c r="DK17" s="4">
        <v>0</v>
      </c>
      <c r="DL17" s="4">
        <v>0</v>
      </c>
      <c r="DM17" s="4">
        <v>0</v>
      </c>
      <c r="DN17" s="4">
        <v>0</v>
      </c>
      <c r="DO17" s="4">
        <v>0</v>
      </c>
      <c r="DP17" s="4">
        <v>0</v>
      </c>
      <c r="DQ17" s="4">
        <v>0</v>
      </c>
      <c r="DR17" s="4">
        <v>0</v>
      </c>
      <c r="DS17" s="4">
        <v>0</v>
      </c>
      <c r="DT17" s="4">
        <v>0</v>
      </c>
      <c r="DU17" s="4">
        <v>0</v>
      </c>
      <c r="DV17" s="4">
        <v>0</v>
      </c>
      <c r="DW17" s="4">
        <v>0</v>
      </c>
      <c r="DX17" s="4">
        <v>0</v>
      </c>
      <c r="DY17" s="4">
        <v>0</v>
      </c>
      <c r="DZ17" s="4">
        <v>0</v>
      </c>
      <c r="EA17" s="4">
        <v>0</v>
      </c>
      <c r="EB17" s="4">
        <v>0</v>
      </c>
      <c r="EC17" s="4">
        <v>0</v>
      </c>
      <c r="ED17" s="4">
        <v>0</v>
      </c>
      <c r="EE17" s="4">
        <v>0</v>
      </c>
      <c r="EF17" s="4">
        <v>0</v>
      </c>
      <c r="EG17" s="4">
        <v>0</v>
      </c>
      <c r="EH17" s="4">
        <v>0</v>
      </c>
      <c r="EI17" s="4">
        <v>0</v>
      </c>
      <c r="EJ17" s="4">
        <v>0</v>
      </c>
      <c r="EK17" s="4">
        <v>0</v>
      </c>
      <c r="EL17" s="4">
        <v>0</v>
      </c>
      <c r="EM17" s="4">
        <v>0</v>
      </c>
      <c r="EN17" s="4">
        <v>0</v>
      </c>
      <c r="EO17" s="4">
        <v>0</v>
      </c>
      <c r="EP17" s="4">
        <v>0</v>
      </c>
      <c r="EQ17" s="4">
        <v>0</v>
      </c>
      <c r="ER17" s="4">
        <v>0</v>
      </c>
      <c r="ES17" s="4">
        <v>0</v>
      </c>
      <c r="ET17" s="4">
        <v>0</v>
      </c>
      <c r="EU17" s="4">
        <v>0</v>
      </c>
      <c r="EV17" s="4">
        <v>0</v>
      </c>
      <c r="EW17" s="4">
        <v>0</v>
      </c>
      <c r="EX17" s="4">
        <v>0</v>
      </c>
      <c r="EY17" s="4">
        <v>0</v>
      </c>
      <c r="EZ17" s="4">
        <v>0</v>
      </c>
    </row>
    <row r="18" spans="2:156" x14ac:dyDescent="0.35">
      <c r="B18" s="11">
        <v>3</v>
      </c>
      <c r="C18" s="11">
        <v>11</v>
      </c>
      <c r="D18" s="12" t="s">
        <v>181</v>
      </c>
      <c r="E18" s="3" t="s">
        <v>184</v>
      </c>
      <c r="F18" s="6">
        <v>861.11502253866593</v>
      </c>
      <c r="G18" s="4">
        <v>0</v>
      </c>
      <c r="H18" s="4">
        <v>0</v>
      </c>
      <c r="I18" s="4">
        <v>418.4244658149932</v>
      </c>
      <c r="J18" s="4">
        <v>0</v>
      </c>
      <c r="K18" s="4">
        <v>0</v>
      </c>
      <c r="L18" s="4">
        <v>0</v>
      </c>
      <c r="M18" s="4">
        <v>0</v>
      </c>
      <c r="N18" s="4">
        <v>0</v>
      </c>
      <c r="O18" s="4">
        <v>0</v>
      </c>
      <c r="P18" s="4">
        <v>0</v>
      </c>
      <c r="Q18" s="4">
        <v>237.41244744301969</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205.27810928065307</v>
      </c>
      <c r="AS18" s="4">
        <v>0</v>
      </c>
      <c r="AT18" s="4">
        <v>0</v>
      </c>
      <c r="AU18" s="4">
        <v>0</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c r="BO18" s="4">
        <v>0</v>
      </c>
      <c r="BP18" s="4">
        <v>0</v>
      </c>
      <c r="BQ18" s="4">
        <v>0</v>
      </c>
      <c r="BR18" s="4">
        <v>0</v>
      </c>
      <c r="BS18" s="4">
        <v>0</v>
      </c>
      <c r="BT18" s="4">
        <v>0</v>
      </c>
      <c r="BU18" s="4">
        <v>0</v>
      </c>
      <c r="BV18" s="4">
        <v>0</v>
      </c>
      <c r="BW18" s="4">
        <v>0</v>
      </c>
      <c r="BX18" s="4">
        <v>0</v>
      </c>
      <c r="BY18" s="4">
        <v>0</v>
      </c>
      <c r="BZ18" s="4">
        <v>0</v>
      </c>
      <c r="CA18" s="4">
        <v>0</v>
      </c>
      <c r="CB18" s="4">
        <v>0</v>
      </c>
      <c r="CC18" s="4">
        <v>0</v>
      </c>
      <c r="CD18" s="4">
        <v>0</v>
      </c>
      <c r="CE18" s="4">
        <v>0</v>
      </c>
      <c r="CF18" s="4">
        <v>0</v>
      </c>
      <c r="CG18" s="4">
        <v>0</v>
      </c>
      <c r="CH18" s="4">
        <v>0</v>
      </c>
      <c r="CI18" s="4">
        <v>0</v>
      </c>
      <c r="CJ18" s="4">
        <v>0</v>
      </c>
      <c r="CK18" s="4">
        <v>0</v>
      </c>
      <c r="CL18" s="4">
        <v>0</v>
      </c>
      <c r="CM18" s="4">
        <v>0</v>
      </c>
      <c r="CN18" s="4">
        <v>0</v>
      </c>
      <c r="CO18" s="4">
        <v>0</v>
      </c>
      <c r="CP18" s="4">
        <v>0</v>
      </c>
      <c r="CQ18" s="4">
        <v>0</v>
      </c>
      <c r="CR18" s="4">
        <v>0</v>
      </c>
      <c r="CS18" s="4">
        <v>0</v>
      </c>
      <c r="CT18" s="4">
        <v>0</v>
      </c>
      <c r="CU18" s="4">
        <v>0</v>
      </c>
      <c r="CV18" s="4">
        <v>0</v>
      </c>
      <c r="CW18" s="4">
        <v>0</v>
      </c>
      <c r="CX18" s="4">
        <v>0</v>
      </c>
      <c r="CY18" s="4">
        <v>0</v>
      </c>
      <c r="CZ18" s="4">
        <v>0</v>
      </c>
      <c r="DA18" s="4">
        <v>0</v>
      </c>
      <c r="DB18" s="4">
        <v>0</v>
      </c>
      <c r="DC18" s="4">
        <v>0</v>
      </c>
      <c r="DD18" s="4">
        <v>0</v>
      </c>
      <c r="DE18" s="4">
        <v>0</v>
      </c>
      <c r="DF18" s="4">
        <v>0</v>
      </c>
      <c r="DG18" s="4">
        <v>0</v>
      </c>
      <c r="DH18" s="4">
        <v>0</v>
      </c>
      <c r="DI18" s="4">
        <v>0</v>
      </c>
      <c r="DJ18" s="4">
        <v>0</v>
      </c>
      <c r="DK18" s="4">
        <v>0</v>
      </c>
      <c r="DL18" s="4">
        <v>0</v>
      </c>
      <c r="DM18" s="4">
        <v>0</v>
      </c>
      <c r="DN18" s="4">
        <v>0</v>
      </c>
      <c r="DO18" s="4">
        <v>0</v>
      </c>
      <c r="DP18" s="4">
        <v>0</v>
      </c>
      <c r="DQ18" s="4">
        <v>0</v>
      </c>
      <c r="DR18" s="4">
        <v>0</v>
      </c>
      <c r="DS18" s="4">
        <v>0</v>
      </c>
      <c r="DT18" s="4">
        <v>0</v>
      </c>
      <c r="DU18" s="4">
        <v>0</v>
      </c>
      <c r="DV18" s="4">
        <v>0</v>
      </c>
      <c r="DW18" s="4">
        <v>0</v>
      </c>
      <c r="DX18" s="4">
        <v>0</v>
      </c>
      <c r="DY18" s="4">
        <v>0</v>
      </c>
      <c r="DZ18" s="4">
        <v>0</v>
      </c>
      <c r="EA18" s="4">
        <v>0</v>
      </c>
      <c r="EB18" s="4">
        <v>0</v>
      </c>
      <c r="EC18" s="4">
        <v>0</v>
      </c>
      <c r="ED18" s="4">
        <v>0</v>
      </c>
      <c r="EE18" s="4">
        <v>0</v>
      </c>
      <c r="EF18" s="4">
        <v>0</v>
      </c>
      <c r="EG18" s="4">
        <v>0</v>
      </c>
      <c r="EH18" s="4">
        <v>0</v>
      </c>
      <c r="EI18" s="4">
        <v>0</v>
      </c>
      <c r="EJ18" s="4">
        <v>0</v>
      </c>
      <c r="EK18" s="4">
        <v>0</v>
      </c>
      <c r="EL18" s="4">
        <v>0</v>
      </c>
      <c r="EM18" s="4">
        <v>0</v>
      </c>
      <c r="EN18" s="4">
        <v>0</v>
      </c>
      <c r="EO18" s="4">
        <v>0</v>
      </c>
      <c r="EP18" s="4">
        <v>0</v>
      </c>
      <c r="EQ18" s="4">
        <v>0</v>
      </c>
      <c r="ER18" s="4">
        <v>0</v>
      </c>
      <c r="ES18" s="4">
        <v>0</v>
      </c>
      <c r="ET18" s="4">
        <v>0</v>
      </c>
      <c r="EU18" s="4">
        <v>0</v>
      </c>
      <c r="EV18" s="4">
        <v>0</v>
      </c>
      <c r="EW18" s="4">
        <v>0</v>
      </c>
      <c r="EX18" s="4">
        <v>0</v>
      </c>
      <c r="EY18" s="4">
        <v>0</v>
      </c>
      <c r="EZ18" s="4">
        <v>0</v>
      </c>
    </row>
    <row r="19" spans="2:156" ht="29" x14ac:dyDescent="0.35">
      <c r="B19" s="11">
        <v>3</v>
      </c>
      <c r="C19" s="11">
        <v>12</v>
      </c>
      <c r="D19" s="12" t="s">
        <v>181</v>
      </c>
      <c r="E19" s="3" t="s">
        <v>185</v>
      </c>
      <c r="F19" s="6">
        <v>20.476429279457825</v>
      </c>
      <c r="G19" s="4">
        <v>0</v>
      </c>
      <c r="H19" s="4">
        <v>1.7645738760649309E-2</v>
      </c>
      <c r="I19" s="4">
        <v>0.27349998539350029</v>
      </c>
      <c r="J19" s="4">
        <v>1.6436530597942162E-2</v>
      </c>
      <c r="K19" s="4">
        <v>0</v>
      </c>
      <c r="L19" s="4">
        <v>0</v>
      </c>
      <c r="M19" s="4">
        <v>3.2415285326074089E-4</v>
      </c>
      <c r="N19" s="4">
        <v>4.4751004515373562E-3</v>
      </c>
      <c r="O19" s="4">
        <v>0</v>
      </c>
      <c r="P19" s="4">
        <v>0</v>
      </c>
      <c r="Q19" s="4">
        <v>0.34248743166629503</v>
      </c>
      <c r="R19" s="4">
        <v>0</v>
      </c>
      <c r="S19" s="4">
        <v>0.74772242109696041</v>
      </c>
      <c r="T19" s="4">
        <v>0.15942785786168817</v>
      </c>
      <c r="U19" s="4">
        <v>9.3362117241405099E-2</v>
      </c>
      <c r="V19" s="4">
        <v>0</v>
      </c>
      <c r="W19" s="4">
        <v>1.1661224978890582E-3</v>
      </c>
      <c r="X19" s="4">
        <v>0</v>
      </c>
      <c r="Y19" s="4">
        <v>0.28307136636560176</v>
      </c>
      <c r="Z19" s="4">
        <v>0</v>
      </c>
      <c r="AA19" s="4">
        <v>0.16713003164771972</v>
      </c>
      <c r="AB19" s="4">
        <v>0</v>
      </c>
      <c r="AC19" s="4">
        <v>2.6432254289909533E-2</v>
      </c>
      <c r="AD19" s="4">
        <v>1.9780292178516991E-2</v>
      </c>
      <c r="AE19" s="4">
        <v>9.2102775217180702E-2</v>
      </c>
      <c r="AF19" s="4">
        <v>0.46018525086160394</v>
      </c>
      <c r="AG19" s="4">
        <v>3.0530280261806615E-2</v>
      </c>
      <c r="AH19" s="4">
        <v>0</v>
      </c>
      <c r="AI19" s="4">
        <v>0.27023752177688681</v>
      </c>
      <c r="AJ19" s="4">
        <v>0.14706438092266874</v>
      </c>
      <c r="AK19" s="4">
        <v>2.3187656976801935E-2</v>
      </c>
      <c r="AL19" s="4">
        <v>0</v>
      </c>
      <c r="AM19" s="4">
        <v>0</v>
      </c>
      <c r="AN19" s="4">
        <v>0</v>
      </c>
      <c r="AO19" s="4">
        <v>2.5958863367967672E-2</v>
      </c>
      <c r="AP19" s="4">
        <v>0</v>
      </c>
      <c r="AQ19" s="4">
        <v>1.1532157428754044E-2</v>
      </c>
      <c r="AR19" s="4">
        <v>2.456765524938271E-2</v>
      </c>
      <c r="AS19" s="4">
        <v>3.24493375594822E-3</v>
      </c>
      <c r="AT19" s="4">
        <v>1.9139989762023941</v>
      </c>
      <c r="AU19" s="4">
        <v>2.3213869966181539E-2</v>
      </c>
      <c r="AV19" s="4">
        <v>8.5896103862855386E-2</v>
      </c>
      <c r="AW19" s="4">
        <v>0</v>
      </c>
      <c r="AX19" s="4">
        <v>2.7579128083722131E-2</v>
      </c>
      <c r="AY19" s="4">
        <v>3.5325623457309226E-2</v>
      </c>
      <c r="AZ19" s="4">
        <v>0</v>
      </c>
      <c r="BA19" s="4">
        <v>0</v>
      </c>
      <c r="BB19" s="4">
        <v>0.2177354833037774</v>
      </c>
      <c r="BC19" s="4">
        <v>0</v>
      </c>
      <c r="BD19" s="4">
        <v>0.52664249324813617</v>
      </c>
      <c r="BE19" s="4">
        <v>8.9595383276133537E-4</v>
      </c>
      <c r="BF19" s="4">
        <v>0</v>
      </c>
      <c r="BG19" s="4">
        <v>0</v>
      </c>
      <c r="BH19" s="4">
        <v>0.40070767349484127</v>
      </c>
      <c r="BI19" s="4">
        <v>0</v>
      </c>
      <c r="BJ19" s="4">
        <v>0</v>
      </c>
      <c r="BK19" s="4">
        <v>0</v>
      </c>
      <c r="BL19" s="4">
        <v>0</v>
      </c>
      <c r="BM19" s="4">
        <v>0</v>
      </c>
      <c r="BN19" s="4">
        <v>6.7741115684809977E-2</v>
      </c>
      <c r="BO19" s="4">
        <v>0</v>
      </c>
      <c r="BP19" s="4">
        <v>0</v>
      </c>
      <c r="BQ19" s="4">
        <v>0.74598777833475338</v>
      </c>
      <c r="BR19" s="4">
        <v>0.3689985993540798</v>
      </c>
      <c r="BS19" s="4">
        <v>0.24843304007944958</v>
      </c>
      <c r="BT19" s="4">
        <v>0</v>
      </c>
      <c r="BU19" s="4">
        <v>0</v>
      </c>
      <c r="BV19" s="4">
        <v>0</v>
      </c>
      <c r="BW19" s="4">
        <v>0</v>
      </c>
      <c r="BX19" s="4">
        <v>0</v>
      </c>
      <c r="BY19" s="4">
        <v>0</v>
      </c>
      <c r="BZ19" s="4">
        <v>0</v>
      </c>
      <c r="CA19" s="4">
        <v>0</v>
      </c>
      <c r="CB19" s="4">
        <v>0</v>
      </c>
      <c r="CC19" s="4">
        <v>0</v>
      </c>
      <c r="CD19" s="4">
        <v>0</v>
      </c>
      <c r="CE19" s="4">
        <v>0</v>
      </c>
      <c r="CF19" s="4">
        <v>0</v>
      </c>
      <c r="CG19" s="4">
        <v>0</v>
      </c>
      <c r="CH19" s="4">
        <v>0</v>
      </c>
      <c r="CI19" s="4">
        <v>0</v>
      </c>
      <c r="CJ19" s="4">
        <v>0</v>
      </c>
      <c r="CK19" s="4">
        <v>2.82413428984962E-2</v>
      </c>
      <c r="CL19" s="4">
        <v>0</v>
      </c>
      <c r="CM19" s="4">
        <v>0</v>
      </c>
      <c r="CN19" s="4">
        <v>9.3305046303557206E-3</v>
      </c>
      <c r="CO19" s="4">
        <v>0</v>
      </c>
      <c r="CP19" s="4">
        <v>0</v>
      </c>
      <c r="CQ19" s="4">
        <v>0</v>
      </c>
      <c r="CR19" s="4">
        <v>0</v>
      </c>
      <c r="CS19" s="4">
        <v>0</v>
      </c>
      <c r="CT19" s="4">
        <v>0.18514746863868339</v>
      </c>
      <c r="CU19" s="4">
        <v>0</v>
      </c>
      <c r="CV19" s="4">
        <v>0</v>
      </c>
      <c r="CW19" s="4">
        <v>1.3331323768892004E-4</v>
      </c>
      <c r="CX19" s="4">
        <v>1.6327926029164719E-2</v>
      </c>
      <c r="CY19" s="4">
        <v>0</v>
      </c>
      <c r="CZ19" s="4">
        <v>0</v>
      </c>
      <c r="DA19" s="4">
        <v>0</v>
      </c>
      <c r="DB19" s="4">
        <v>0</v>
      </c>
      <c r="DC19" s="4">
        <v>9.2385946753433309E-3</v>
      </c>
      <c r="DD19" s="4">
        <v>1.1418850150503239E-3</v>
      </c>
      <c r="DE19" s="4">
        <v>0</v>
      </c>
      <c r="DF19" s="4">
        <v>0</v>
      </c>
      <c r="DG19" s="4">
        <v>5.4560156551532249E-3</v>
      </c>
      <c r="DH19" s="4">
        <v>0.21173793658063297</v>
      </c>
      <c r="DI19" s="4">
        <v>0</v>
      </c>
      <c r="DJ19" s="4">
        <v>0</v>
      </c>
      <c r="DK19" s="4">
        <v>0</v>
      </c>
      <c r="DL19" s="4">
        <v>0</v>
      </c>
      <c r="DM19" s="4">
        <v>0.27596518194643838</v>
      </c>
      <c r="DN19" s="4">
        <v>2.037579839235578E-2</v>
      </c>
      <c r="DO19" s="4">
        <v>3.3722408745836111E-3</v>
      </c>
      <c r="DP19" s="4">
        <v>5.2748569312826919E-2</v>
      </c>
      <c r="DQ19" s="4">
        <v>0</v>
      </c>
      <c r="DR19" s="4">
        <v>0</v>
      </c>
      <c r="DS19" s="4">
        <v>0</v>
      </c>
      <c r="DT19" s="4">
        <v>0</v>
      </c>
      <c r="DU19" s="4">
        <v>0</v>
      </c>
      <c r="DV19" s="4">
        <v>0.1911216325269017</v>
      </c>
      <c r="DW19" s="4">
        <v>0</v>
      </c>
      <c r="DX19" s="4">
        <v>0</v>
      </c>
      <c r="DY19" s="4">
        <v>0</v>
      </c>
      <c r="DZ19" s="4">
        <v>0</v>
      </c>
      <c r="EA19" s="4">
        <v>0</v>
      </c>
      <c r="EB19" s="4">
        <v>0</v>
      </c>
      <c r="EC19" s="4">
        <v>0</v>
      </c>
      <c r="ED19" s="4">
        <v>0</v>
      </c>
      <c r="EE19" s="4">
        <v>1.1786578067358059E-2</v>
      </c>
      <c r="EF19" s="4">
        <v>9.2123556643425919E-2</v>
      </c>
      <c r="EG19" s="4">
        <v>0</v>
      </c>
      <c r="EH19" s="4">
        <v>7.215851808298984</v>
      </c>
      <c r="EI19" s="4">
        <v>0</v>
      </c>
      <c r="EJ19" s="4">
        <v>0</v>
      </c>
      <c r="EK19" s="4">
        <v>0</v>
      </c>
      <c r="EL19" s="4">
        <v>0</v>
      </c>
      <c r="EM19" s="4">
        <v>0</v>
      </c>
      <c r="EN19" s="4">
        <v>0</v>
      </c>
      <c r="EO19" s="4">
        <v>0.12350718916950508</v>
      </c>
      <c r="EP19" s="4">
        <v>2.2541481673196063E-2</v>
      </c>
      <c r="EQ19" s="4">
        <v>0</v>
      </c>
      <c r="ER19" s="4">
        <v>3.4188551485330123</v>
      </c>
      <c r="ES19" s="4">
        <v>0</v>
      </c>
      <c r="ET19" s="4">
        <v>0.31132117780578961</v>
      </c>
      <c r="EU19" s="4">
        <v>0.36537521122593142</v>
      </c>
      <c r="EV19" s="4">
        <v>0</v>
      </c>
      <c r="EW19" s="4">
        <v>0</v>
      </c>
      <c r="EX19" s="4">
        <v>0</v>
      </c>
      <c r="EY19" s="4">
        <v>0</v>
      </c>
      <c r="EZ19" s="4">
        <v>0</v>
      </c>
    </row>
    <row r="20" spans="2:156" x14ac:dyDescent="0.35">
      <c r="B20" s="11">
        <v>3</v>
      </c>
      <c r="C20" s="11">
        <v>13</v>
      </c>
      <c r="D20" s="12" t="s">
        <v>181</v>
      </c>
      <c r="E20" s="3" t="s">
        <v>186</v>
      </c>
      <c r="F20" s="6">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c r="BO20" s="4">
        <v>0</v>
      </c>
      <c r="BP20" s="4">
        <v>0</v>
      </c>
      <c r="BQ20" s="4">
        <v>0</v>
      </c>
      <c r="BR20" s="4">
        <v>0</v>
      </c>
      <c r="BS20" s="4">
        <v>0</v>
      </c>
      <c r="BT20" s="4">
        <v>0</v>
      </c>
      <c r="BU20" s="4">
        <v>0</v>
      </c>
      <c r="BV20" s="4">
        <v>0</v>
      </c>
      <c r="BW20" s="4">
        <v>0</v>
      </c>
      <c r="BX20" s="4">
        <v>0</v>
      </c>
      <c r="BY20" s="4">
        <v>0</v>
      </c>
      <c r="BZ20" s="4">
        <v>0</v>
      </c>
      <c r="CA20" s="4">
        <v>0</v>
      </c>
      <c r="CB20" s="4">
        <v>0</v>
      </c>
      <c r="CC20" s="4">
        <v>0</v>
      </c>
      <c r="CD20" s="4">
        <v>0</v>
      </c>
      <c r="CE20" s="4">
        <v>0</v>
      </c>
      <c r="CF20" s="4">
        <v>0</v>
      </c>
      <c r="CG20" s="4">
        <v>0</v>
      </c>
      <c r="CH20" s="4">
        <v>0</v>
      </c>
      <c r="CI20" s="4">
        <v>0</v>
      </c>
      <c r="CJ20" s="4">
        <v>0</v>
      </c>
      <c r="CK20" s="4">
        <v>0</v>
      </c>
      <c r="CL20" s="4">
        <v>0</v>
      </c>
      <c r="CM20" s="4">
        <v>0</v>
      </c>
      <c r="CN20" s="4">
        <v>0</v>
      </c>
      <c r="CO20" s="4">
        <v>0</v>
      </c>
      <c r="CP20" s="4">
        <v>0</v>
      </c>
      <c r="CQ20" s="4">
        <v>0</v>
      </c>
      <c r="CR20" s="4">
        <v>0</v>
      </c>
      <c r="CS20" s="4">
        <v>0</v>
      </c>
      <c r="CT20" s="4">
        <v>0</v>
      </c>
      <c r="CU20" s="4">
        <v>0</v>
      </c>
      <c r="CV20" s="4">
        <v>0</v>
      </c>
      <c r="CW20" s="4">
        <v>0</v>
      </c>
      <c r="CX20" s="4">
        <v>0</v>
      </c>
      <c r="CY20" s="4">
        <v>0</v>
      </c>
      <c r="CZ20" s="4">
        <v>0</v>
      </c>
      <c r="DA20" s="4">
        <v>0</v>
      </c>
      <c r="DB20" s="4">
        <v>0</v>
      </c>
      <c r="DC20" s="4">
        <v>0</v>
      </c>
      <c r="DD20" s="4">
        <v>0</v>
      </c>
      <c r="DE20" s="4">
        <v>0</v>
      </c>
      <c r="DF20" s="4">
        <v>0</v>
      </c>
      <c r="DG20" s="4">
        <v>0</v>
      </c>
      <c r="DH20" s="4">
        <v>0</v>
      </c>
      <c r="DI20" s="4">
        <v>0</v>
      </c>
      <c r="DJ20" s="4">
        <v>0</v>
      </c>
      <c r="DK20" s="4">
        <v>0</v>
      </c>
      <c r="DL20" s="4">
        <v>0</v>
      </c>
      <c r="DM20" s="4">
        <v>0</v>
      </c>
      <c r="DN20" s="4">
        <v>0</v>
      </c>
      <c r="DO20" s="4">
        <v>0</v>
      </c>
      <c r="DP20" s="4">
        <v>0</v>
      </c>
      <c r="DQ20" s="4">
        <v>0</v>
      </c>
      <c r="DR20" s="4">
        <v>0</v>
      </c>
      <c r="DS20" s="4">
        <v>0</v>
      </c>
      <c r="DT20" s="4">
        <v>0</v>
      </c>
      <c r="DU20" s="4">
        <v>0</v>
      </c>
      <c r="DV20" s="4">
        <v>0</v>
      </c>
      <c r="DW20" s="4">
        <v>0</v>
      </c>
      <c r="DX20" s="4">
        <v>0</v>
      </c>
      <c r="DY20" s="4">
        <v>0</v>
      </c>
      <c r="DZ20" s="4">
        <v>0</v>
      </c>
      <c r="EA20" s="4">
        <v>0</v>
      </c>
      <c r="EB20" s="4">
        <v>0</v>
      </c>
      <c r="EC20" s="4">
        <v>0</v>
      </c>
      <c r="ED20" s="4">
        <v>0</v>
      </c>
      <c r="EE20" s="4">
        <v>0</v>
      </c>
      <c r="EF20" s="4">
        <v>0</v>
      </c>
      <c r="EG20" s="4">
        <v>0</v>
      </c>
      <c r="EH20" s="4">
        <v>0</v>
      </c>
      <c r="EI20" s="4">
        <v>0</v>
      </c>
      <c r="EJ20" s="4">
        <v>0</v>
      </c>
      <c r="EK20" s="4">
        <v>0</v>
      </c>
      <c r="EL20" s="4">
        <v>0</v>
      </c>
      <c r="EM20" s="4">
        <v>0</v>
      </c>
      <c r="EN20" s="4">
        <v>0</v>
      </c>
      <c r="EO20" s="4">
        <v>0</v>
      </c>
      <c r="EP20" s="4">
        <v>0</v>
      </c>
      <c r="EQ20" s="4">
        <v>0</v>
      </c>
      <c r="ER20" s="4">
        <v>0</v>
      </c>
      <c r="ES20" s="4">
        <v>0</v>
      </c>
      <c r="ET20" s="4">
        <v>0</v>
      </c>
      <c r="EU20" s="4">
        <v>0</v>
      </c>
      <c r="EV20" s="4">
        <v>0</v>
      </c>
      <c r="EW20" s="4">
        <v>0</v>
      </c>
      <c r="EX20" s="4">
        <v>0</v>
      </c>
      <c r="EY20" s="4">
        <v>0</v>
      </c>
      <c r="EZ20" s="4">
        <v>0</v>
      </c>
    </row>
    <row r="21" spans="2:156" x14ac:dyDescent="0.35">
      <c r="B21" s="11">
        <v>3</v>
      </c>
      <c r="C21" s="11">
        <v>14</v>
      </c>
      <c r="D21" s="12" t="s">
        <v>181</v>
      </c>
      <c r="E21" s="3" t="s">
        <v>187</v>
      </c>
      <c r="F21" s="6">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4">
        <v>0</v>
      </c>
      <c r="BF21" s="4">
        <v>0</v>
      </c>
      <c r="BG21" s="4">
        <v>0</v>
      </c>
      <c r="BH21" s="4">
        <v>0</v>
      </c>
      <c r="BI21" s="4">
        <v>0</v>
      </c>
      <c r="BJ21" s="4">
        <v>0</v>
      </c>
      <c r="BK21" s="4">
        <v>0</v>
      </c>
      <c r="BL21" s="4">
        <v>0</v>
      </c>
      <c r="BM21" s="4">
        <v>0</v>
      </c>
      <c r="BN21" s="4">
        <v>0</v>
      </c>
      <c r="BO21" s="4">
        <v>0</v>
      </c>
      <c r="BP21" s="4">
        <v>0</v>
      </c>
      <c r="BQ21" s="4">
        <v>0</v>
      </c>
      <c r="BR21" s="4">
        <v>0</v>
      </c>
      <c r="BS21" s="4">
        <v>0</v>
      </c>
      <c r="BT21" s="4">
        <v>0</v>
      </c>
      <c r="BU21" s="4">
        <v>0</v>
      </c>
      <c r="BV21" s="4">
        <v>0</v>
      </c>
      <c r="BW21" s="4">
        <v>0</v>
      </c>
      <c r="BX21" s="4">
        <v>0</v>
      </c>
      <c r="BY21" s="4">
        <v>0</v>
      </c>
      <c r="BZ21" s="4">
        <v>0</v>
      </c>
      <c r="CA21" s="4">
        <v>0</v>
      </c>
      <c r="CB21" s="4">
        <v>0</v>
      </c>
      <c r="CC21" s="4">
        <v>0</v>
      </c>
      <c r="CD21" s="4">
        <v>0</v>
      </c>
      <c r="CE21" s="4">
        <v>0</v>
      </c>
      <c r="CF21" s="4">
        <v>0</v>
      </c>
      <c r="CG21" s="4">
        <v>0</v>
      </c>
      <c r="CH21" s="4">
        <v>0</v>
      </c>
      <c r="CI21" s="4">
        <v>0</v>
      </c>
      <c r="CJ21" s="4">
        <v>0</v>
      </c>
      <c r="CK21" s="4">
        <v>0</v>
      </c>
      <c r="CL21" s="4">
        <v>0</v>
      </c>
      <c r="CM21" s="4">
        <v>0</v>
      </c>
      <c r="CN21" s="4">
        <v>0</v>
      </c>
      <c r="CO21" s="4">
        <v>0</v>
      </c>
      <c r="CP21" s="4">
        <v>0</v>
      </c>
      <c r="CQ21" s="4">
        <v>0</v>
      </c>
      <c r="CR21" s="4">
        <v>0</v>
      </c>
      <c r="CS21" s="4">
        <v>0</v>
      </c>
      <c r="CT21" s="4">
        <v>0</v>
      </c>
      <c r="CU21" s="4">
        <v>0</v>
      </c>
      <c r="CV21" s="4">
        <v>0</v>
      </c>
      <c r="CW21" s="4">
        <v>0</v>
      </c>
      <c r="CX21" s="4">
        <v>0</v>
      </c>
      <c r="CY21" s="4">
        <v>0</v>
      </c>
      <c r="CZ21" s="4">
        <v>0</v>
      </c>
      <c r="DA21" s="4">
        <v>0</v>
      </c>
      <c r="DB21" s="4">
        <v>0</v>
      </c>
      <c r="DC21" s="4">
        <v>0</v>
      </c>
      <c r="DD21" s="4">
        <v>0</v>
      </c>
      <c r="DE21" s="4">
        <v>0</v>
      </c>
      <c r="DF21" s="4">
        <v>0</v>
      </c>
      <c r="DG21" s="4">
        <v>0</v>
      </c>
      <c r="DH21" s="4">
        <v>0</v>
      </c>
      <c r="DI21" s="4">
        <v>0</v>
      </c>
      <c r="DJ21" s="4">
        <v>0</v>
      </c>
      <c r="DK21" s="4">
        <v>0</v>
      </c>
      <c r="DL21" s="4">
        <v>0</v>
      </c>
      <c r="DM21" s="4">
        <v>0</v>
      </c>
      <c r="DN21" s="4">
        <v>0</v>
      </c>
      <c r="DO21" s="4">
        <v>0</v>
      </c>
      <c r="DP21" s="4">
        <v>0</v>
      </c>
      <c r="DQ21" s="4">
        <v>0</v>
      </c>
      <c r="DR21" s="4">
        <v>0</v>
      </c>
      <c r="DS21" s="4">
        <v>0</v>
      </c>
      <c r="DT21" s="4">
        <v>0</v>
      </c>
      <c r="DU21" s="4">
        <v>0</v>
      </c>
      <c r="DV21" s="4">
        <v>0</v>
      </c>
      <c r="DW21" s="4">
        <v>0</v>
      </c>
      <c r="DX21" s="4">
        <v>0</v>
      </c>
      <c r="DY21" s="4">
        <v>0</v>
      </c>
      <c r="DZ21" s="4">
        <v>0</v>
      </c>
      <c r="EA21" s="4">
        <v>0</v>
      </c>
      <c r="EB21" s="4">
        <v>0</v>
      </c>
      <c r="EC21" s="4">
        <v>0</v>
      </c>
      <c r="ED21" s="4">
        <v>0</v>
      </c>
      <c r="EE21" s="4">
        <v>0</v>
      </c>
      <c r="EF21" s="4">
        <v>0</v>
      </c>
      <c r="EG21" s="4">
        <v>0</v>
      </c>
      <c r="EH21" s="4">
        <v>0</v>
      </c>
      <c r="EI21" s="4">
        <v>0</v>
      </c>
      <c r="EJ21" s="4">
        <v>0</v>
      </c>
      <c r="EK21" s="4">
        <v>0</v>
      </c>
      <c r="EL21" s="4">
        <v>0</v>
      </c>
      <c r="EM21" s="4">
        <v>0</v>
      </c>
      <c r="EN21" s="4">
        <v>0</v>
      </c>
      <c r="EO21" s="4">
        <v>0</v>
      </c>
      <c r="EP21" s="4">
        <v>0</v>
      </c>
      <c r="EQ21" s="4">
        <v>0</v>
      </c>
      <c r="ER21" s="4">
        <v>0</v>
      </c>
      <c r="ES21" s="4">
        <v>0</v>
      </c>
      <c r="ET21" s="4">
        <v>0</v>
      </c>
      <c r="EU21" s="4">
        <v>0</v>
      </c>
      <c r="EV21" s="4">
        <v>0</v>
      </c>
      <c r="EW21" s="4">
        <v>0</v>
      </c>
      <c r="EX21" s="4">
        <v>0</v>
      </c>
      <c r="EY21" s="4">
        <v>0</v>
      </c>
      <c r="EZ21" s="4">
        <v>0</v>
      </c>
    </row>
    <row r="22" spans="2:156" x14ac:dyDescent="0.35">
      <c r="B22" s="12">
        <v>3</v>
      </c>
      <c r="C22" s="12">
        <v>15</v>
      </c>
      <c r="D22" s="12" t="s">
        <v>181</v>
      </c>
      <c r="E22" s="13" t="s">
        <v>188</v>
      </c>
      <c r="F22" s="6">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4">
        <v>0</v>
      </c>
      <c r="BF22" s="4">
        <v>0</v>
      </c>
      <c r="BG22" s="4">
        <v>0</v>
      </c>
      <c r="BH22" s="4">
        <v>0</v>
      </c>
      <c r="BI22" s="4">
        <v>0</v>
      </c>
      <c r="BJ22" s="4">
        <v>0</v>
      </c>
      <c r="BK22" s="4">
        <v>0</v>
      </c>
      <c r="BL22" s="4">
        <v>0</v>
      </c>
      <c r="BM22" s="4">
        <v>0</v>
      </c>
      <c r="BN22" s="4">
        <v>0</v>
      </c>
      <c r="BO22" s="4">
        <v>0</v>
      </c>
      <c r="BP22" s="4">
        <v>0</v>
      </c>
      <c r="BQ22" s="4">
        <v>0</v>
      </c>
      <c r="BR22" s="4">
        <v>0</v>
      </c>
      <c r="BS22" s="4">
        <v>0</v>
      </c>
      <c r="BT22" s="4">
        <v>0</v>
      </c>
      <c r="BU22" s="4">
        <v>0</v>
      </c>
      <c r="BV22" s="4">
        <v>0</v>
      </c>
      <c r="BW22" s="4">
        <v>0</v>
      </c>
      <c r="BX22" s="4">
        <v>0</v>
      </c>
      <c r="BY22" s="4">
        <v>0</v>
      </c>
      <c r="BZ22" s="4">
        <v>0</v>
      </c>
      <c r="CA22" s="4">
        <v>0</v>
      </c>
      <c r="CB22" s="4">
        <v>0</v>
      </c>
      <c r="CC22" s="4">
        <v>0</v>
      </c>
      <c r="CD22" s="4">
        <v>0</v>
      </c>
      <c r="CE22" s="4">
        <v>0</v>
      </c>
      <c r="CF22" s="4">
        <v>0</v>
      </c>
      <c r="CG22" s="4">
        <v>0</v>
      </c>
      <c r="CH22" s="4">
        <v>0</v>
      </c>
      <c r="CI22" s="4">
        <v>0</v>
      </c>
      <c r="CJ22" s="4">
        <v>0</v>
      </c>
      <c r="CK22" s="4">
        <v>0</v>
      </c>
      <c r="CL22" s="4">
        <v>0</v>
      </c>
      <c r="CM22" s="4">
        <v>0</v>
      </c>
      <c r="CN22" s="4">
        <v>0</v>
      </c>
      <c r="CO22" s="4">
        <v>0</v>
      </c>
      <c r="CP22" s="4">
        <v>0</v>
      </c>
      <c r="CQ22" s="4">
        <v>0</v>
      </c>
      <c r="CR22" s="4">
        <v>0</v>
      </c>
      <c r="CS22" s="4">
        <v>0</v>
      </c>
      <c r="CT22" s="4">
        <v>0</v>
      </c>
      <c r="CU22" s="4">
        <v>0</v>
      </c>
      <c r="CV22" s="4">
        <v>0</v>
      </c>
      <c r="CW22" s="4">
        <v>0</v>
      </c>
      <c r="CX22" s="4">
        <v>0</v>
      </c>
      <c r="CY22" s="4">
        <v>0</v>
      </c>
      <c r="CZ22" s="4">
        <v>0</v>
      </c>
      <c r="DA22" s="4">
        <v>0</v>
      </c>
      <c r="DB22" s="4">
        <v>0</v>
      </c>
      <c r="DC22" s="4">
        <v>0</v>
      </c>
      <c r="DD22" s="4">
        <v>0</v>
      </c>
      <c r="DE22" s="4">
        <v>0</v>
      </c>
      <c r="DF22" s="4">
        <v>0</v>
      </c>
      <c r="DG22" s="4">
        <v>0</v>
      </c>
      <c r="DH22" s="4">
        <v>0</v>
      </c>
      <c r="DI22" s="4">
        <v>0</v>
      </c>
      <c r="DJ22" s="4">
        <v>0</v>
      </c>
      <c r="DK22" s="4">
        <v>0</v>
      </c>
      <c r="DL22" s="4">
        <v>0</v>
      </c>
      <c r="DM22" s="4">
        <v>0</v>
      </c>
      <c r="DN22" s="4">
        <v>0</v>
      </c>
      <c r="DO22" s="4">
        <v>0</v>
      </c>
      <c r="DP22" s="4">
        <v>0</v>
      </c>
      <c r="DQ22" s="4">
        <v>0</v>
      </c>
      <c r="DR22" s="4">
        <v>0</v>
      </c>
      <c r="DS22" s="4">
        <v>0</v>
      </c>
      <c r="DT22" s="4">
        <v>0</v>
      </c>
      <c r="DU22" s="4">
        <v>0</v>
      </c>
      <c r="DV22" s="4">
        <v>0</v>
      </c>
      <c r="DW22" s="4">
        <v>0</v>
      </c>
      <c r="DX22" s="4">
        <v>0</v>
      </c>
      <c r="DY22" s="4">
        <v>0</v>
      </c>
      <c r="DZ22" s="4">
        <v>0</v>
      </c>
      <c r="EA22" s="4">
        <v>0</v>
      </c>
      <c r="EB22" s="4">
        <v>0</v>
      </c>
      <c r="EC22" s="4">
        <v>0</v>
      </c>
      <c r="ED22" s="4">
        <v>0</v>
      </c>
      <c r="EE22" s="4">
        <v>0</v>
      </c>
      <c r="EF22" s="4">
        <v>0</v>
      </c>
      <c r="EG22" s="4">
        <v>0</v>
      </c>
      <c r="EH22" s="4">
        <v>0</v>
      </c>
      <c r="EI22" s="4">
        <v>0</v>
      </c>
      <c r="EJ22" s="4">
        <v>0</v>
      </c>
      <c r="EK22" s="4">
        <v>0</v>
      </c>
      <c r="EL22" s="4">
        <v>0</v>
      </c>
      <c r="EM22" s="4">
        <v>0</v>
      </c>
      <c r="EN22" s="4">
        <v>0</v>
      </c>
      <c r="EO22" s="4">
        <v>0</v>
      </c>
      <c r="EP22" s="4">
        <v>0</v>
      </c>
      <c r="EQ22" s="4">
        <v>0</v>
      </c>
      <c r="ER22" s="4">
        <v>0</v>
      </c>
      <c r="ES22" s="4">
        <v>0</v>
      </c>
      <c r="ET22" s="4">
        <v>0</v>
      </c>
      <c r="EU22" s="4">
        <v>0</v>
      </c>
      <c r="EV22" s="4">
        <v>0</v>
      </c>
      <c r="EW22" s="4">
        <v>0</v>
      </c>
      <c r="EX22" s="4">
        <v>0</v>
      </c>
      <c r="EY22" s="4">
        <v>0</v>
      </c>
      <c r="EZ22" s="4">
        <v>0</v>
      </c>
    </row>
    <row r="23" spans="2:156" x14ac:dyDescent="0.35">
      <c r="B23" s="12"/>
      <c r="C23" s="12"/>
      <c r="D23" s="12"/>
      <c r="E23" s="13" t="s">
        <v>192</v>
      </c>
      <c r="F23" s="6">
        <v>119158.19133926605</v>
      </c>
      <c r="G23" s="4">
        <v>0.8714175955063419</v>
      </c>
      <c r="H23" s="4">
        <v>765.68386682405969</v>
      </c>
      <c r="I23" s="4">
        <v>4801.8000111363363</v>
      </c>
      <c r="J23" s="4">
        <v>751.09078951470701</v>
      </c>
      <c r="K23" s="4">
        <v>-3.9444069075147388</v>
      </c>
      <c r="L23" s="4">
        <v>1935.8915588282459</v>
      </c>
      <c r="M23" s="4">
        <v>6.6967949870738614</v>
      </c>
      <c r="N23" s="4">
        <v>65.158064071685246</v>
      </c>
      <c r="O23" s="4">
        <v>0</v>
      </c>
      <c r="P23" s="4">
        <v>0</v>
      </c>
      <c r="Q23" s="4">
        <v>4930.0055162907547</v>
      </c>
      <c r="R23" s="4">
        <v>0</v>
      </c>
      <c r="S23" s="4">
        <v>8254.1127152175341</v>
      </c>
      <c r="T23" s="4">
        <v>763.7697720154938</v>
      </c>
      <c r="U23" s="4">
        <v>855.87143805975325</v>
      </c>
      <c r="V23" s="4">
        <v>1.9928860303691567</v>
      </c>
      <c r="W23" s="4">
        <v>9.253964771035923</v>
      </c>
      <c r="X23" s="4">
        <v>-57.844454876663548</v>
      </c>
      <c r="Y23" s="4">
        <v>2270.2715535238772</v>
      </c>
      <c r="Z23" s="4">
        <v>0</v>
      </c>
      <c r="AA23" s="4">
        <v>920.22427073038148</v>
      </c>
      <c r="AB23" s="4">
        <v>3.2556637249930636</v>
      </c>
      <c r="AC23" s="4">
        <v>95.432208468321392</v>
      </c>
      <c r="AD23" s="4">
        <v>248.2005741374434</v>
      </c>
      <c r="AE23" s="4">
        <v>183.04224302691975</v>
      </c>
      <c r="AF23" s="4">
        <v>1876.7402976010189</v>
      </c>
      <c r="AG23" s="4">
        <v>1161.5230547355923</v>
      </c>
      <c r="AH23" s="4">
        <v>2.0094466208856447</v>
      </c>
      <c r="AI23" s="4">
        <v>3104.4810200145844</v>
      </c>
      <c r="AJ23" s="4">
        <v>4007.422607975047</v>
      </c>
      <c r="AK23" s="4">
        <v>594.68131646247411</v>
      </c>
      <c r="AL23" s="4">
        <v>116.19231804937104</v>
      </c>
      <c r="AM23" s="4">
        <v>0</v>
      </c>
      <c r="AN23" s="4">
        <v>2.7652731770100756</v>
      </c>
      <c r="AO23" s="4">
        <v>93.397568556682103</v>
      </c>
      <c r="AP23" s="4">
        <v>53.430224231045372</v>
      </c>
      <c r="AQ23" s="4">
        <v>179.67979076967512</v>
      </c>
      <c r="AR23" s="4">
        <v>811.84205244894008</v>
      </c>
      <c r="AS23" s="4">
        <v>98.063117136991792</v>
      </c>
      <c r="AT23" s="4">
        <v>5394.8147982519004</v>
      </c>
      <c r="AU23" s="4">
        <v>191.29285729814697</v>
      </c>
      <c r="AV23" s="4">
        <v>1721.8194432607816</v>
      </c>
      <c r="AW23" s="4">
        <v>0</v>
      </c>
      <c r="AX23" s="4">
        <v>313.59576269609295</v>
      </c>
      <c r="AY23" s="4">
        <v>150.59831411264429</v>
      </c>
      <c r="AZ23" s="4">
        <v>0</v>
      </c>
      <c r="BA23" s="4">
        <v>11.28458185490161</v>
      </c>
      <c r="BB23" s="4">
        <v>1125.1948860490966</v>
      </c>
      <c r="BC23" s="4">
        <v>3.8120208792646895</v>
      </c>
      <c r="BD23" s="4">
        <v>1509.4068338985901</v>
      </c>
      <c r="BE23" s="4">
        <v>-16.095490122588085</v>
      </c>
      <c r="BF23" s="4">
        <v>19.27977596968978</v>
      </c>
      <c r="BG23" s="4">
        <v>98.803168539373587</v>
      </c>
      <c r="BH23" s="4">
        <v>2040.0037323315216</v>
      </c>
      <c r="BI23" s="4">
        <v>20.578678530787627</v>
      </c>
      <c r="BJ23" s="4">
        <v>3.0722255872345228</v>
      </c>
      <c r="BK23" s="4">
        <v>1.0162790086882676</v>
      </c>
      <c r="BL23" s="4">
        <v>4.7213537039488802</v>
      </c>
      <c r="BM23" s="4">
        <v>8.4942802341504819</v>
      </c>
      <c r="BN23" s="4">
        <v>443.37301281956559</v>
      </c>
      <c r="BO23" s="4">
        <v>0</v>
      </c>
      <c r="BP23" s="4">
        <v>0</v>
      </c>
      <c r="BQ23" s="4">
        <v>932.53670421152447</v>
      </c>
      <c r="BR23" s="4">
        <v>1957.4155315102787</v>
      </c>
      <c r="BS23" s="4">
        <v>657.54603494054356</v>
      </c>
      <c r="BT23" s="4">
        <v>1406.6790985793277</v>
      </c>
      <c r="BU23" s="4">
        <v>0</v>
      </c>
      <c r="BV23" s="4">
        <v>5.8196984333974411E-2</v>
      </c>
      <c r="BW23" s="4">
        <v>1.4047579460337701E-2</v>
      </c>
      <c r="BX23" s="4">
        <v>0.63661388522644891</v>
      </c>
      <c r="BY23" s="4">
        <v>6.7543291241960599</v>
      </c>
      <c r="BZ23" s="4">
        <v>2464.2223287979227</v>
      </c>
      <c r="CA23" s="4">
        <v>503.67035853644569</v>
      </c>
      <c r="CB23" s="4">
        <v>-182.31914139786994</v>
      </c>
      <c r="CC23" s="4">
        <v>47.731905122091732</v>
      </c>
      <c r="CD23" s="4">
        <v>-116.87399553547259</v>
      </c>
      <c r="CE23" s="4">
        <v>374.38028877032838</v>
      </c>
      <c r="CF23" s="4">
        <v>0</v>
      </c>
      <c r="CG23" s="4">
        <v>0</v>
      </c>
      <c r="CH23" s="4">
        <v>0</v>
      </c>
      <c r="CI23" s="4">
        <v>312.34446488457615</v>
      </c>
      <c r="CJ23" s="4">
        <v>383.01047658600004</v>
      </c>
      <c r="CK23" s="4">
        <v>938.52136290013675</v>
      </c>
      <c r="CL23" s="4">
        <v>245.3802870703764</v>
      </c>
      <c r="CM23" s="4">
        <v>322.41655095380855</v>
      </c>
      <c r="CN23" s="4">
        <v>146.97125601255689</v>
      </c>
      <c r="CO23" s="4">
        <v>0</v>
      </c>
      <c r="CP23" s="4">
        <v>0</v>
      </c>
      <c r="CQ23" s="4">
        <v>828.7752282418262</v>
      </c>
      <c r="CR23" s="4">
        <v>511.52072536987026</v>
      </c>
      <c r="CS23" s="4">
        <v>329.00806756774602</v>
      </c>
      <c r="CT23" s="4">
        <v>1058.3868843731534</v>
      </c>
      <c r="CU23" s="4">
        <v>33.646563617487196</v>
      </c>
      <c r="CV23" s="4">
        <v>232.08721910388269</v>
      </c>
      <c r="CW23" s="4">
        <v>293.58925928503191</v>
      </c>
      <c r="CX23" s="4">
        <v>141.09900450005605</v>
      </c>
      <c r="CY23" s="4">
        <v>500.65956871525572</v>
      </c>
      <c r="CZ23" s="4">
        <v>80.98028336388461</v>
      </c>
      <c r="DA23" s="4">
        <v>223.35479937431387</v>
      </c>
      <c r="DB23" s="4">
        <v>128.70385304101444</v>
      </c>
      <c r="DC23" s="4">
        <v>40.673406525924563</v>
      </c>
      <c r="DD23" s="4">
        <v>60.174587394278497</v>
      </c>
      <c r="DE23" s="4">
        <v>123.55878220166903</v>
      </c>
      <c r="DF23" s="4">
        <v>97.701916426623029</v>
      </c>
      <c r="DG23" s="4">
        <v>68.388839903698027</v>
      </c>
      <c r="DH23" s="4">
        <v>1016.1086123350897</v>
      </c>
      <c r="DI23" s="4">
        <v>165.23888426182955</v>
      </c>
      <c r="DJ23" s="4">
        <v>-5.8118498166132824</v>
      </c>
      <c r="DK23" s="4">
        <v>0</v>
      </c>
      <c r="DL23" s="4">
        <v>0</v>
      </c>
      <c r="DM23" s="4">
        <v>724.27632600635332</v>
      </c>
      <c r="DN23" s="4">
        <v>81.756013769541042</v>
      </c>
      <c r="DO23" s="4">
        <v>66.497917904070363</v>
      </c>
      <c r="DP23" s="4">
        <v>348.36852434286226</v>
      </c>
      <c r="DQ23" s="4">
        <v>222.25519694574214</v>
      </c>
      <c r="DR23" s="4">
        <v>443.1646925549357</v>
      </c>
      <c r="DS23" s="4">
        <v>1174.5632300831755</v>
      </c>
      <c r="DT23" s="4">
        <v>385.35694256393481</v>
      </c>
      <c r="DU23" s="4">
        <v>1091.822340787659</v>
      </c>
      <c r="DV23" s="4">
        <v>765.92451512711284</v>
      </c>
      <c r="DW23" s="4">
        <v>28.684051847004973</v>
      </c>
      <c r="DX23" s="4">
        <v>-1.800442978846335</v>
      </c>
      <c r="DY23" s="4">
        <v>28.085429115011014</v>
      </c>
      <c r="DZ23" s="4">
        <v>2.6657773714177746</v>
      </c>
      <c r="EA23" s="4">
        <v>10.27980564588773</v>
      </c>
      <c r="EB23" s="4">
        <v>34.926693381667</v>
      </c>
      <c r="EC23" s="4">
        <v>10.889676954145695</v>
      </c>
      <c r="ED23" s="4">
        <v>2.0464741709097902</v>
      </c>
      <c r="EE23" s="4">
        <v>431.85603091201853</v>
      </c>
      <c r="EF23" s="4">
        <v>842.11216394584403</v>
      </c>
      <c r="EG23" s="4">
        <v>3880.5901989031618</v>
      </c>
      <c r="EH23" s="4">
        <v>7965.2799711787338</v>
      </c>
      <c r="EI23" s="4">
        <v>92.218992326919846</v>
      </c>
      <c r="EJ23" s="4">
        <v>220.26643256420851</v>
      </c>
      <c r="EK23" s="4">
        <v>-159.95689070800944</v>
      </c>
      <c r="EL23" s="4">
        <v>-53.591333467970365</v>
      </c>
      <c r="EM23" s="4">
        <v>0.96490416059943707</v>
      </c>
      <c r="EN23" s="4">
        <v>0</v>
      </c>
      <c r="EO23" s="4">
        <v>11161.036451413911</v>
      </c>
      <c r="EP23" s="4">
        <v>184.9398982523627</v>
      </c>
      <c r="EQ23" s="4">
        <v>173.4529672063353</v>
      </c>
      <c r="ER23" s="4">
        <v>10721.771731325789</v>
      </c>
      <c r="ES23" s="4">
        <v>4.2260243329639113</v>
      </c>
      <c r="ET23" s="4">
        <v>852.14223282099294</v>
      </c>
      <c r="EU23" s="4">
        <v>7939.3564584734604</v>
      </c>
      <c r="EV23" s="4">
        <v>185.25968488693218</v>
      </c>
      <c r="EW23" s="4">
        <v>904.80777011521332</v>
      </c>
      <c r="EX23" s="4">
        <v>5.2008622888821048</v>
      </c>
      <c r="EY23" s="4">
        <v>20.91313101400296</v>
      </c>
      <c r="EZ23" s="4">
        <v>88.508106571905984</v>
      </c>
    </row>
    <row r="24" spans="2:156" x14ac:dyDescent="0.35">
      <c r="B24" s="12"/>
      <c r="C24" s="12"/>
      <c r="D24" s="12"/>
      <c r="E24" s="13" t="s">
        <v>191</v>
      </c>
      <c r="F24" s="6">
        <v>119766.32471768714</v>
      </c>
      <c r="G24" s="4">
        <v>0.8714175955063419</v>
      </c>
      <c r="H24" s="4">
        <v>765.68386682405969</v>
      </c>
      <c r="I24" s="4">
        <v>4801.8000111363363</v>
      </c>
      <c r="J24" s="4">
        <v>751.09078951470701</v>
      </c>
      <c r="K24" s="4">
        <v>-3.9444069075147388</v>
      </c>
      <c r="L24" s="4">
        <v>1935.8915588282459</v>
      </c>
      <c r="M24" s="4">
        <v>6.6967949870738614</v>
      </c>
      <c r="N24" s="4">
        <v>65.158064071685246</v>
      </c>
      <c r="O24" s="4">
        <v>0</v>
      </c>
      <c r="P24" s="4">
        <v>0</v>
      </c>
      <c r="Q24" s="4">
        <v>4930.0055162907547</v>
      </c>
      <c r="R24" s="4">
        <v>0</v>
      </c>
      <c r="S24" s="4">
        <v>8254.1127152175341</v>
      </c>
      <c r="T24" s="4">
        <v>763.7697720154938</v>
      </c>
      <c r="U24" s="4">
        <v>855.87143805975325</v>
      </c>
      <c r="V24" s="4">
        <v>1.9928860303691567</v>
      </c>
      <c r="W24" s="4">
        <v>9.253964771035923</v>
      </c>
      <c r="X24" s="4">
        <v>-57.844454876663548</v>
      </c>
      <c r="Y24" s="4">
        <v>2288.6124808117856</v>
      </c>
      <c r="Z24" s="4">
        <v>0</v>
      </c>
      <c r="AA24" s="4">
        <v>962.13086046517435</v>
      </c>
      <c r="AB24" s="4">
        <v>3.2556637249930636</v>
      </c>
      <c r="AC24" s="4">
        <v>95.432208468321392</v>
      </c>
      <c r="AD24" s="4">
        <v>255.82760082791566</v>
      </c>
      <c r="AE24" s="4">
        <v>183.04224302691975</v>
      </c>
      <c r="AF24" s="4">
        <v>1892.1223508511903</v>
      </c>
      <c r="AG24" s="4">
        <v>1168.2542588930216</v>
      </c>
      <c r="AH24" s="4">
        <v>2.0094466208856447</v>
      </c>
      <c r="AI24" s="4">
        <v>3121.5780521719907</v>
      </c>
      <c r="AJ24" s="4">
        <v>4019.9734018659356</v>
      </c>
      <c r="AK24" s="4">
        <v>596.43316988964682</v>
      </c>
      <c r="AL24" s="4">
        <v>116.19231804937104</v>
      </c>
      <c r="AM24" s="4">
        <v>0</v>
      </c>
      <c r="AN24" s="4">
        <v>2.7652731770100756</v>
      </c>
      <c r="AO24" s="4">
        <v>94.622255164010483</v>
      </c>
      <c r="AP24" s="4">
        <v>53.093165180545398</v>
      </c>
      <c r="AQ24" s="4">
        <v>179.67979076967512</v>
      </c>
      <c r="AR24" s="4">
        <v>811.84205244894008</v>
      </c>
      <c r="AS24" s="4">
        <v>98.063117136991792</v>
      </c>
      <c r="AT24" s="4">
        <v>5496.5131472511393</v>
      </c>
      <c r="AU24" s="4">
        <v>191.65723924673998</v>
      </c>
      <c r="AV24" s="4">
        <v>1724.4871746019182</v>
      </c>
      <c r="AW24" s="4">
        <v>0</v>
      </c>
      <c r="AX24" s="4">
        <v>313.85840237247726</v>
      </c>
      <c r="AY24" s="4">
        <v>150.59831411264429</v>
      </c>
      <c r="AZ24" s="4">
        <v>0</v>
      </c>
      <c r="BA24" s="4">
        <v>11.28458185490161</v>
      </c>
      <c r="BB24" s="4">
        <v>1136.0215654169178</v>
      </c>
      <c r="BC24" s="4">
        <v>3.8120208792646895</v>
      </c>
      <c r="BD24" s="4">
        <v>1523.4658419134387</v>
      </c>
      <c r="BE24" s="4">
        <v>-16.095490122588085</v>
      </c>
      <c r="BF24" s="4">
        <v>19.27977596968978</v>
      </c>
      <c r="BG24" s="4">
        <v>98.803168539373587</v>
      </c>
      <c r="BH24" s="4">
        <v>2072.0093834621662</v>
      </c>
      <c r="BI24" s="4">
        <v>20.578678530787627</v>
      </c>
      <c r="BJ24" s="4">
        <v>3.0722255872345228</v>
      </c>
      <c r="BK24" s="4">
        <v>1.0162790086882676</v>
      </c>
      <c r="BL24" s="4">
        <v>4.7213537039488802</v>
      </c>
      <c r="BM24" s="4">
        <v>8.4942802341504819</v>
      </c>
      <c r="BN24" s="4">
        <v>443.37301281956559</v>
      </c>
      <c r="BO24" s="4">
        <v>0</v>
      </c>
      <c r="BP24" s="4">
        <v>0</v>
      </c>
      <c r="BQ24" s="4">
        <v>992.03705026598595</v>
      </c>
      <c r="BR24" s="4">
        <v>1957.4155315102787</v>
      </c>
      <c r="BS24" s="4">
        <v>659.33721844633362</v>
      </c>
      <c r="BT24" s="4">
        <v>1414.691338222711</v>
      </c>
      <c r="BU24" s="4">
        <v>0</v>
      </c>
      <c r="BV24" s="4">
        <v>5.8196984333974411E-2</v>
      </c>
      <c r="BW24" s="4">
        <v>1.4047579460337701E-2</v>
      </c>
      <c r="BX24" s="4">
        <v>0.63661388522644891</v>
      </c>
      <c r="BY24" s="4">
        <v>6.7543291241960599</v>
      </c>
      <c r="BZ24" s="4">
        <v>2464.2223287979227</v>
      </c>
      <c r="CA24" s="4">
        <v>503.67035853644569</v>
      </c>
      <c r="CB24" s="4">
        <v>-182.31914139786994</v>
      </c>
      <c r="CC24" s="4">
        <v>47.731905122091732</v>
      </c>
      <c r="CD24" s="4">
        <v>-116.87399553547259</v>
      </c>
      <c r="CE24" s="4">
        <v>374.38028877032838</v>
      </c>
      <c r="CF24" s="4">
        <v>0</v>
      </c>
      <c r="CG24" s="4">
        <v>0</v>
      </c>
      <c r="CH24" s="4">
        <v>0</v>
      </c>
      <c r="CI24" s="4">
        <v>318.48081035812629</v>
      </c>
      <c r="CJ24" s="4">
        <v>388.22693787794924</v>
      </c>
      <c r="CK24" s="4">
        <v>947.17247074918157</v>
      </c>
      <c r="CL24" s="4">
        <v>247.09578229605856</v>
      </c>
      <c r="CM24" s="4">
        <v>329.76695566386093</v>
      </c>
      <c r="CN24" s="4">
        <v>148.70435168770467</v>
      </c>
      <c r="CO24" s="4">
        <v>0</v>
      </c>
      <c r="CP24" s="4">
        <v>0</v>
      </c>
      <c r="CQ24" s="4">
        <v>835.43425537848634</v>
      </c>
      <c r="CR24" s="4">
        <v>515.49674035270266</v>
      </c>
      <c r="CS24" s="4">
        <v>330.89067185226469</v>
      </c>
      <c r="CT24" s="4">
        <v>1077.7593663145253</v>
      </c>
      <c r="CU24" s="4">
        <v>44.014942152289123</v>
      </c>
      <c r="CV24" s="4">
        <v>240.52306647381687</v>
      </c>
      <c r="CW24" s="4">
        <v>295.34001888370318</v>
      </c>
      <c r="CX24" s="4">
        <v>142.71299745308079</v>
      </c>
      <c r="CY24" s="4">
        <v>502.36901576999844</v>
      </c>
      <c r="CZ24" s="4">
        <v>84.850750056258704</v>
      </c>
      <c r="DA24" s="4">
        <v>223.35479937431387</v>
      </c>
      <c r="DB24" s="4">
        <v>130.21780170415434</v>
      </c>
      <c r="DC24" s="4">
        <v>43.436432263515492</v>
      </c>
      <c r="DD24" s="4">
        <v>61.384457342963501</v>
      </c>
      <c r="DE24" s="4">
        <v>125.50856017482302</v>
      </c>
      <c r="DF24" s="4">
        <v>99.300211338372733</v>
      </c>
      <c r="DG24" s="4">
        <v>69.598709852383024</v>
      </c>
      <c r="DH24" s="4">
        <v>1034.0623402711617</v>
      </c>
      <c r="DI24" s="4">
        <v>165.64615195234893</v>
      </c>
      <c r="DJ24" s="4">
        <v>-5.8118498166132824</v>
      </c>
      <c r="DK24" s="4">
        <v>0</v>
      </c>
      <c r="DL24" s="4">
        <v>0</v>
      </c>
      <c r="DM24" s="4">
        <v>743.14496901207019</v>
      </c>
      <c r="DN24" s="4">
        <v>84.466900102481162</v>
      </c>
      <c r="DO24" s="4">
        <v>68.452646853735558</v>
      </c>
      <c r="DP24" s="4">
        <v>354.87894964240627</v>
      </c>
      <c r="DQ24" s="4">
        <v>234.946889216339</v>
      </c>
      <c r="DR24" s="4">
        <v>443.59148434160676</v>
      </c>
      <c r="DS24" s="4">
        <v>1174.0601872737416</v>
      </c>
      <c r="DT24" s="4">
        <v>386.38165685933711</v>
      </c>
      <c r="DU24" s="4">
        <v>1093.3175868588364</v>
      </c>
      <c r="DV24" s="4">
        <v>765.92451512711284</v>
      </c>
      <c r="DW24" s="4">
        <v>28.684051847004973</v>
      </c>
      <c r="DX24" s="4">
        <v>-1.800442978846335</v>
      </c>
      <c r="DY24" s="4">
        <v>28.085429115011014</v>
      </c>
      <c r="DZ24" s="4">
        <v>2.6657773714177746</v>
      </c>
      <c r="EA24" s="4">
        <v>10.27980564588773</v>
      </c>
      <c r="EB24" s="4">
        <v>34.926693381667</v>
      </c>
      <c r="EC24" s="4">
        <v>10.889676954145695</v>
      </c>
      <c r="ED24" s="4">
        <v>2.0464741709097902</v>
      </c>
      <c r="EE24" s="4">
        <v>431.91168257993161</v>
      </c>
      <c r="EF24" s="4">
        <v>842.25688671812304</v>
      </c>
      <c r="EG24" s="4">
        <v>3880.9050293584564</v>
      </c>
      <c r="EH24" s="4">
        <v>8023.8492987351337</v>
      </c>
      <c r="EI24" s="4">
        <v>92.218992326919846</v>
      </c>
      <c r="EJ24" s="4">
        <v>220.26643256420851</v>
      </c>
      <c r="EK24" s="4">
        <v>-159.95689070800944</v>
      </c>
      <c r="EL24" s="4">
        <v>-53.591333467970365</v>
      </c>
      <c r="EM24" s="4">
        <v>0.96490416059943707</v>
      </c>
      <c r="EN24" s="4">
        <v>0</v>
      </c>
      <c r="EO24" s="4">
        <v>11165.479155247345</v>
      </c>
      <c r="EP24" s="4">
        <v>184.9398982523627</v>
      </c>
      <c r="EQ24" s="4">
        <v>173.4529672063353</v>
      </c>
      <c r="ER24" s="4">
        <v>10722.59044154784</v>
      </c>
      <c r="ES24" s="4">
        <v>4.2260243329639113</v>
      </c>
      <c r="ET24" s="4">
        <v>853.97632886370263</v>
      </c>
      <c r="EU24" s="4">
        <v>7960.1367498109157</v>
      </c>
      <c r="EV24" s="4">
        <v>187.24453485560468</v>
      </c>
      <c r="EW24" s="4">
        <v>905.27482369169672</v>
      </c>
      <c r="EX24" s="4">
        <v>6.2308866556397566</v>
      </c>
      <c r="EY24" s="4">
        <v>20.91313101400296</v>
      </c>
      <c r="EZ24" s="4">
        <v>88.508106571905984</v>
      </c>
    </row>
    <row r="26" spans="2:156" x14ac:dyDescent="0.35">
      <c r="B26" s="5" t="s">
        <v>225</v>
      </c>
    </row>
    <row r="28" spans="2:156" x14ac:dyDescent="0.35">
      <c r="B28" s="15" t="s">
        <v>112</v>
      </c>
      <c r="C28" s="16" t="s">
        <v>113</v>
      </c>
      <c r="D28" s="17" t="s">
        <v>114</v>
      </c>
      <c r="E28" s="1" t="s">
        <v>2</v>
      </c>
      <c r="F28" s="2" t="s">
        <v>206</v>
      </c>
      <c r="G28" s="2" t="s">
        <v>203</v>
      </c>
    </row>
    <row r="29" spans="2:156" x14ac:dyDescent="0.35">
      <c r="B29" s="10">
        <v>1</v>
      </c>
      <c r="C29" s="10" t="s">
        <v>167</v>
      </c>
      <c r="D29" s="10" t="s">
        <v>168</v>
      </c>
      <c r="E29" s="3" t="s">
        <v>195</v>
      </c>
      <c r="F29" s="4">
        <v>1336.4189907252837</v>
      </c>
      <c r="G29" s="4">
        <v>1336.4189907252837</v>
      </c>
    </row>
    <row r="30" spans="2:156" x14ac:dyDescent="0.35">
      <c r="B30" s="10">
        <v>1</v>
      </c>
      <c r="C30" s="10" t="s">
        <v>167</v>
      </c>
      <c r="D30" s="10" t="s">
        <v>168</v>
      </c>
      <c r="E30" s="3" t="s">
        <v>196</v>
      </c>
      <c r="F30" s="4">
        <v>936.81688096273422</v>
      </c>
      <c r="G30" s="4">
        <v>936.81688096273422</v>
      </c>
    </row>
    <row r="31" spans="2:156" x14ac:dyDescent="0.35">
      <c r="B31" s="10">
        <v>1</v>
      </c>
      <c r="C31" s="10" t="s">
        <v>167</v>
      </c>
      <c r="D31" s="10" t="s">
        <v>168</v>
      </c>
      <c r="E31" s="3" t="s">
        <v>197</v>
      </c>
      <c r="F31" s="4">
        <v>0</v>
      </c>
      <c r="G31" s="4">
        <v>0</v>
      </c>
    </row>
    <row r="32" spans="2:156" x14ac:dyDescent="0.35">
      <c r="B32" s="10">
        <v>1</v>
      </c>
      <c r="C32" s="10" t="s">
        <v>167</v>
      </c>
      <c r="D32" s="10" t="s">
        <v>168</v>
      </c>
      <c r="E32" s="3" t="s">
        <v>198</v>
      </c>
      <c r="F32" s="4">
        <v>6.4105660479999997</v>
      </c>
      <c r="G32" s="4">
        <v>6.4105660479999997</v>
      </c>
    </row>
    <row r="33" spans="2:7" x14ac:dyDescent="0.35">
      <c r="B33" s="10">
        <v>1</v>
      </c>
      <c r="C33" s="10" t="s">
        <v>167</v>
      </c>
      <c r="D33" s="10" t="s">
        <v>168</v>
      </c>
      <c r="E33" s="3" t="s">
        <v>199</v>
      </c>
      <c r="F33" s="4">
        <v>0</v>
      </c>
      <c r="G33" s="4">
        <v>0</v>
      </c>
    </row>
    <row r="34" spans="2:7" x14ac:dyDescent="0.35">
      <c r="B34" s="10">
        <v>2</v>
      </c>
      <c r="C34" s="10" t="s">
        <v>167</v>
      </c>
      <c r="D34" s="10" t="s">
        <v>168</v>
      </c>
      <c r="E34" s="3" t="s">
        <v>200</v>
      </c>
      <c r="F34" s="4">
        <v>3365.3929247558435</v>
      </c>
      <c r="G34" s="4">
        <v>2757.2595463347839</v>
      </c>
    </row>
    <row r="35" spans="2:7" x14ac:dyDescent="0.35">
      <c r="B35" s="10">
        <v>2</v>
      </c>
      <c r="C35" s="10" t="s">
        <v>167</v>
      </c>
      <c r="D35" s="10" t="s">
        <v>168</v>
      </c>
      <c r="E35" s="3" t="s">
        <v>201</v>
      </c>
      <c r="F35" s="4">
        <v>53.952952393083365</v>
      </c>
      <c r="G35" s="4">
        <v>53.952952393083365</v>
      </c>
    </row>
    <row r="36" spans="2:7" x14ac:dyDescent="0.35">
      <c r="B36" s="10">
        <v>2</v>
      </c>
      <c r="C36" s="10" t="s">
        <v>167</v>
      </c>
      <c r="D36" s="10" t="s">
        <v>168</v>
      </c>
      <c r="E36" s="3" t="s">
        <v>202</v>
      </c>
      <c r="F36" s="4">
        <v>0</v>
      </c>
      <c r="G36" s="4">
        <v>0</v>
      </c>
    </row>
    <row r="37" spans="2:7" x14ac:dyDescent="0.35">
      <c r="B37" s="10">
        <v>2</v>
      </c>
      <c r="C37" s="10" t="s">
        <v>167</v>
      </c>
      <c r="D37" s="10" t="s">
        <v>168</v>
      </c>
      <c r="E37" s="3" t="s">
        <v>199</v>
      </c>
      <c r="F37" s="4">
        <v>0</v>
      </c>
      <c r="G37" s="4">
        <v>0</v>
      </c>
    </row>
    <row r="38" spans="2:7" x14ac:dyDescent="0.35">
      <c r="B38" s="11">
        <v>3</v>
      </c>
      <c r="C38" s="11">
        <v>1</v>
      </c>
      <c r="D38" s="11" t="s">
        <v>172</v>
      </c>
      <c r="E38" s="3" t="s">
        <v>173</v>
      </c>
      <c r="F38" s="4">
        <v>79412.202308481166</v>
      </c>
      <c r="G38" s="4">
        <v>79412.202308481166</v>
      </c>
    </row>
    <row r="39" spans="2:7" x14ac:dyDescent="0.35">
      <c r="B39" s="11">
        <v>3</v>
      </c>
      <c r="C39" s="11">
        <v>2</v>
      </c>
      <c r="D39" s="11" t="s">
        <v>172</v>
      </c>
      <c r="E39" s="3" t="s">
        <v>174</v>
      </c>
      <c r="F39" s="4">
        <v>1553.4786315087429</v>
      </c>
      <c r="G39" s="4">
        <v>1553.4786315087429</v>
      </c>
    </row>
    <row r="40" spans="2:7" ht="29" x14ac:dyDescent="0.35">
      <c r="B40" s="11">
        <v>3</v>
      </c>
      <c r="C40" s="11">
        <v>3</v>
      </c>
      <c r="D40" s="11" t="s">
        <v>172</v>
      </c>
      <c r="E40" s="3" t="s">
        <v>175</v>
      </c>
      <c r="F40" s="4">
        <v>1173.4545916056613</v>
      </c>
      <c r="G40" s="4">
        <v>1173.4545916056613</v>
      </c>
    </row>
    <row r="41" spans="2:7" ht="29" x14ac:dyDescent="0.35">
      <c r="B41" s="11">
        <v>3</v>
      </c>
      <c r="C41" s="11">
        <v>4</v>
      </c>
      <c r="D41" s="11" t="s">
        <v>172</v>
      </c>
      <c r="E41" s="3" t="s">
        <v>176</v>
      </c>
      <c r="F41" s="4">
        <v>22660.451282315404</v>
      </c>
      <c r="G41" s="4">
        <v>22660.451282315404</v>
      </c>
    </row>
    <row r="42" spans="2:7" ht="29" x14ac:dyDescent="0.35">
      <c r="B42" s="11">
        <v>3</v>
      </c>
      <c r="C42" s="11">
        <v>5</v>
      </c>
      <c r="D42" s="11" t="s">
        <v>172</v>
      </c>
      <c r="E42" s="3" t="s">
        <v>177</v>
      </c>
      <c r="F42" s="4">
        <v>398.82427199207723</v>
      </c>
      <c r="G42" s="4">
        <v>398.82427199207723</v>
      </c>
    </row>
    <row r="43" spans="2:7" x14ac:dyDescent="0.35">
      <c r="B43" s="11">
        <v>3</v>
      </c>
      <c r="C43" s="11">
        <v>6</v>
      </c>
      <c r="D43" s="11" t="s">
        <v>172</v>
      </c>
      <c r="E43" s="3" t="s">
        <v>178</v>
      </c>
      <c r="F43" s="4">
        <v>3171.7995045787802</v>
      </c>
      <c r="G43" s="4">
        <v>3171.7995045787802</v>
      </c>
    </row>
    <row r="44" spans="2:7" x14ac:dyDescent="0.35">
      <c r="B44" s="11">
        <v>3</v>
      </c>
      <c r="C44" s="11">
        <v>7</v>
      </c>
      <c r="D44" s="11" t="s">
        <v>172</v>
      </c>
      <c r="E44" s="3" t="s">
        <v>179</v>
      </c>
      <c r="F44" s="4">
        <v>3379.0943704192255</v>
      </c>
      <c r="G44" s="4">
        <v>3379.0943704192255</v>
      </c>
    </row>
    <row r="45" spans="2:7" x14ac:dyDescent="0.35">
      <c r="B45" s="11">
        <v>3</v>
      </c>
      <c r="C45" s="11">
        <v>8</v>
      </c>
      <c r="D45" s="11" t="s">
        <v>172</v>
      </c>
      <c r="E45" s="3" t="s">
        <v>180</v>
      </c>
      <c r="F45" s="4">
        <v>1436.4359900830077</v>
      </c>
      <c r="G45" s="4">
        <v>1436.4359900830077</v>
      </c>
    </row>
    <row r="46" spans="2:7" ht="29" x14ac:dyDescent="0.35">
      <c r="B46" s="11">
        <v>3</v>
      </c>
      <c r="C46" s="11">
        <v>9</v>
      </c>
      <c r="D46" s="11" t="s">
        <v>181</v>
      </c>
      <c r="E46" s="3" t="s">
        <v>182</v>
      </c>
      <c r="F46" s="4">
        <v>0</v>
      </c>
      <c r="G46" s="4">
        <v>0</v>
      </c>
    </row>
    <row r="47" spans="2:7" x14ac:dyDescent="0.35">
      <c r="B47" s="11">
        <v>3</v>
      </c>
      <c r="C47" s="11">
        <v>10</v>
      </c>
      <c r="D47" s="11" t="s">
        <v>181</v>
      </c>
      <c r="E47" s="3" t="s">
        <v>183</v>
      </c>
      <c r="F47" s="4">
        <v>0</v>
      </c>
      <c r="G47" s="4">
        <v>0</v>
      </c>
    </row>
    <row r="48" spans="2:7" x14ac:dyDescent="0.35">
      <c r="B48" s="11">
        <v>3</v>
      </c>
      <c r="C48" s="11">
        <v>11</v>
      </c>
      <c r="D48" s="11" t="s">
        <v>181</v>
      </c>
      <c r="E48" s="3" t="s">
        <v>184</v>
      </c>
      <c r="F48" s="4">
        <v>861.11502253866593</v>
      </c>
      <c r="G48" s="4">
        <v>861.11502253866593</v>
      </c>
    </row>
    <row r="49" spans="2:7" ht="29" x14ac:dyDescent="0.35">
      <c r="B49" s="11">
        <v>3</v>
      </c>
      <c r="C49" s="11">
        <v>12</v>
      </c>
      <c r="D49" s="11" t="s">
        <v>181</v>
      </c>
      <c r="E49" s="3" t="s">
        <v>185</v>
      </c>
      <c r="F49" s="4">
        <v>20.476429279457825</v>
      </c>
      <c r="G49" s="4">
        <v>20.476429279457825</v>
      </c>
    </row>
    <row r="50" spans="2:7" x14ac:dyDescent="0.35">
      <c r="B50" s="11">
        <v>3</v>
      </c>
      <c r="C50" s="11">
        <v>13</v>
      </c>
      <c r="D50" s="11" t="s">
        <v>181</v>
      </c>
      <c r="E50" s="3" t="s">
        <v>186</v>
      </c>
      <c r="F50" s="4">
        <v>0</v>
      </c>
      <c r="G50" s="4">
        <v>0</v>
      </c>
    </row>
    <row r="51" spans="2:7" x14ac:dyDescent="0.35">
      <c r="B51" s="11">
        <v>3</v>
      </c>
      <c r="C51" s="11">
        <v>14</v>
      </c>
      <c r="D51" s="11" t="s">
        <v>181</v>
      </c>
      <c r="E51" s="3" t="s">
        <v>187</v>
      </c>
      <c r="F51" s="4">
        <v>0</v>
      </c>
      <c r="G51" s="4">
        <v>0</v>
      </c>
    </row>
    <row r="52" spans="2:7" x14ac:dyDescent="0.35">
      <c r="B52" s="11">
        <v>3</v>
      </c>
      <c r="C52" s="11">
        <v>15</v>
      </c>
      <c r="D52" s="11" t="s">
        <v>181</v>
      </c>
      <c r="E52" s="3" t="s">
        <v>188</v>
      </c>
      <c r="F52" s="4">
        <v>0</v>
      </c>
      <c r="G52" s="4">
        <v>0</v>
      </c>
    </row>
    <row r="53" spans="2:7" x14ac:dyDescent="0.35">
      <c r="B53" s="49" t="s">
        <v>111</v>
      </c>
      <c r="C53" s="50"/>
      <c r="D53" s="50"/>
      <c r="E53" s="51"/>
      <c r="F53" s="6">
        <v>119766.32471768715</v>
      </c>
      <c r="G53" s="6">
        <v>119158.19133926609</v>
      </c>
    </row>
  </sheetData>
  <mergeCells count="1">
    <mergeCell ref="B53:E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D7D06-68F1-4A94-A565-D283C4F14C57}">
  <dimension ref="B2:EW53"/>
  <sheetViews>
    <sheetView showGridLines="0" workbookViewId="0">
      <selection activeCell="G27" sqref="G27"/>
    </sheetView>
  </sheetViews>
  <sheetFormatPr defaultRowHeight="14.5" x14ac:dyDescent="0.35"/>
  <cols>
    <col min="2" max="2" width="13.81640625" customWidth="1"/>
    <col min="3" max="3" width="13.1796875" customWidth="1"/>
    <col min="4" max="4" width="22.81640625" customWidth="1"/>
    <col min="5" max="5" width="25.453125" customWidth="1"/>
    <col min="6" max="6" width="29.90625" customWidth="1"/>
    <col min="7" max="7" width="18" customWidth="1"/>
    <col min="8" max="8" width="20.453125" customWidth="1"/>
    <col min="9" max="9" width="11.1796875" bestFit="1" customWidth="1"/>
    <col min="17" max="17" width="11.1796875" bestFit="1" customWidth="1"/>
    <col min="19" max="19" width="11.1796875" bestFit="1" customWidth="1"/>
    <col min="46" max="46" width="11.1796875" bestFit="1" customWidth="1"/>
    <col min="138" max="138" width="11.26953125" bestFit="1" customWidth="1"/>
    <col min="145" max="145" width="12.90625" bestFit="1" customWidth="1"/>
    <col min="148" max="148" width="11.1796875" bestFit="1" customWidth="1"/>
    <col min="151" max="151" width="11.1796875" bestFit="1" customWidth="1"/>
  </cols>
  <sheetData>
    <row r="2" spans="2:153" x14ac:dyDescent="0.35">
      <c r="B2" s="5" t="s">
        <v>189</v>
      </c>
    </row>
    <row r="3" spans="2:153" x14ac:dyDescent="0.35">
      <c r="G3" t="s">
        <v>190</v>
      </c>
      <c r="H3" t="s">
        <v>190</v>
      </c>
      <c r="I3" t="s">
        <v>190</v>
      </c>
      <c r="J3" t="s">
        <v>190</v>
      </c>
      <c r="K3" t="s">
        <v>190</v>
      </c>
      <c r="L3" t="s">
        <v>190</v>
      </c>
      <c r="M3" t="s">
        <v>190</v>
      </c>
      <c r="N3" t="s">
        <v>190</v>
      </c>
      <c r="O3" t="s">
        <v>190</v>
      </c>
      <c r="P3" t="s">
        <v>190</v>
      </c>
      <c r="Q3" t="s">
        <v>190</v>
      </c>
      <c r="R3" t="s">
        <v>190</v>
      </c>
      <c r="S3" t="s">
        <v>190</v>
      </c>
      <c r="T3" t="s">
        <v>190</v>
      </c>
      <c r="U3" t="s">
        <v>190</v>
      </c>
      <c r="V3" t="s">
        <v>190</v>
      </c>
      <c r="W3" t="s">
        <v>190</v>
      </c>
      <c r="X3" t="s">
        <v>190</v>
      </c>
      <c r="Y3" t="s">
        <v>190</v>
      </c>
      <c r="Z3" t="s">
        <v>190</v>
      </c>
      <c r="AA3" t="s">
        <v>190</v>
      </c>
      <c r="AB3" t="s">
        <v>190</v>
      </c>
      <c r="AC3" t="s">
        <v>190</v>
      </c>
      <c r="AD3" t="s">
        <v>190</v>
      </c>
      <c r="AE3" t="s">
        <v>190</v>
      </c>
      <c r="AF3" t="s">
        <v>190</v>
      </c>
      <c r="AG3" t="s">
        <v>190</v>
      </c>
      <c r="AH3" t="s">
        <v>190</v>
      </c>
      <c r="AI3" t="s">
        <v>190</v>
      </c>
      <c r="AJ3" t="s">
        <v>190</v>
      </c>
      <c r="AK3" t="s">
        <v>190</v>
      </c>
      <c r="AL3" t="s">
        <v>190</v>
      </c>
      <c r="AM3" t="s">
        <v>190</v>
      </c>
      <c r="AN3" t="s">
        <v>190</v>
      </c>
      <c r="AO3" t="s">
        <v>190</v>
      </c>
      <c r="AP3" t="s">
        <v>190</v>
      </c>
      <c r="AQ3" t="s">
        <v>190</v>
      </c>
      <c r="AR3" t="s">
        <v>190</v>
      </c>
      <c r="AS3" t="s">
        <v>190</v>
      </c>
      <c r="AT3" t="s">
        <v>190</v>
      </c>
      <c r="AU3" t="s">
        <v>190</v>
      </c>
      <c r="AV3" t="s">
        <v>190</v>
      </c>
      <c r="AW3" t="s">
        <v>190</v>
      </c>
      <c r="AX3" t="s">
        <v>190</v>
      </c>
      <c r="AY3" t="s">
        <v>190</v>
      </c>
      <c r="AZ3" t="s">
        <v>190</v>
      </c>
      <c r="BA3" t="s">
        <v>190</v>
      </c>
      <c r="BB3" t="s">
        <v>190</v>
      </c>
      <c r="BC3" t="s">
        <v>190</v>
      </c>
      <c r="BD3" t="s">
        <v>190</v>
      </c>
      <c r="BE3" t="s">
        <v>190</v>
      </c>
      <c r="BF3" t="s">
        <v>190</v>
      </c>
      <c r="BG3" t="s">
        <v>190</v>
      </c>
      <c r="BH3" t="s">
        <v>190</v>
      </c>
      <c r="BI3" t="s">
        <v>190</v>
      </c>
      <c r="BJ3" t="s">
        <v>190</v>
      </c>
      <c r="BK3" t="s">
        <v>190</v>
      </c>
      <c r="BL3" t="s">
        <v>190</v>
      </c>
      <c r="BM3" t="s">
        <v>190</v>
      </c>
      <c r="BN3" t="s">
        <v>190</v>
      </c>
      <c r="BO3" t="s">
        <v>211</v>
      </c>
      <c r="BP3" t="s">
        <v>211</v>
      </c>
      <c r="BQ3" t="s">
        <v>190</v>
      </c>
      <c r="BR3" t="s">
        <v>190</v>
      </c>
      <c r="BS3" t="s">
        <v>190</v>
      </c>
      <c r="BT3" t="s">
        <v>190</v>
      </c>
      <c r="BU3" t="s">
        <v>190</v>
      </c>
      <c r="BV3" t="s">
        <v>190</v>
      </c>
      <c r="BW3" t="s">
        <v>190</v>
      </c>
      <c r="BX3" t="s">
        <v>190</v>
      </c>
      <c r="BY3" t="s">
        <v>190</v>
      </c>
      <c r="BZ3" t="s">
        <v>190</v>
      </c>
      <c r="CA3" t="s">
        <v>190</v>
      </c>
      <c r="CB3" t="s">
        <v>190</v>
      </c>
      <c r="CC3" t="s">
        <v>190</v>
      </c>
      <c r="CD3" t="s">
        <v>190</v>
      </c>
      <c r="CE3" t="s">
        <v>190</v>
      </c>
      <c r="CF3" t="s">
        <v>190</v>
      </c>
      <c r="CG3" t="s">
        <v>190</v>
      </c>
      <c r="CH3" t="s">
        <v>190</v>
      </c>
      <c r="CI3" t="s">
        <v>190</v>
      </c>
      <c r="CJ3" t="s">
        <v>190</v>
      </c>
      <c r="CK3" t="s">
        <v>190</v>
      </c>
      <c r="CL3" t="s">
        <v>190</v>
      </c>
      <c r="CM3" t="s">
        <v>190</v>
      </c>
      <c r="CN3" t="s">
        <v>190</v>
      </c>
      <c r="CO3" t="s">
        <v>190</v>
      </c>
      <c r="CP3" t="s">
        <v>190</v>
      </c>
      <c r="CQ3" t="s">
        <v>190</v>
      </c>
      <c r="CR3" t="s">
        <v>190</v>
      </c>
      <c r="CS3" t="s">
        <v>190</v>
      </c>
      <c r="CT3" t="s">
        <v>190</v>
      </c>
      <c r="CU3" t="s">
        <v>190</v>
      </c>
      <c r="CV3" t="s">
        <v>190</v>
      </c>
      <c r="CW3" t="s">
        <v>190</v>
      </c>
      <c r="CX3" t="s">
        <v>190</v>
      </c>
      <c r="CY3" t="s">
        <v>190</v>
      </c>
      <c r="CZ3" t="s">
        <v>190</v>
      </c>
      <c r="DA3" t="s">
        <v>190</v>
      </c>
      <c r="DB3" t="s">
        <v>190</v>
      </c>
      <c r="DC3" t="s">
        <v>190</v>
      </c>
      <c r="DD3" t="s">
        <v>190</v>
      </c>
      <c r="DE3" t="s">
        <v>190</v>
      </c>
      <c r="DF3" t="s">
        <v>190</v>
      </c>
      <c r="DG3" t="s">
        <v>190</v>
      </c>
      <c r="DH3" t="s">
        <v>190</v>
      </c>
      <c r="DI3" t="s">
        <v>190</v>
      </c>
      <c r="DJ3" t="s">
        <v>190</v>
      </c>
      <c r="DK3" t="s">
        <v>190</v>
      </c>
      <c r="DL3" t="s">
        <v>190</v>
      </c>
      <c r="DM3" t="s">
        <v>190</v>
      </c>
      <c r="DN3" t="s">
        <v>190</v>
      </c>
      <c r="DO3" t="s">
        <v>190</v>
      </c>
      <c r="DP3" t="s">
        <v>190</v>
      </c>
      <c r="DQ3" t="s">
        <v>190</v>
      </c>
      <c r="DR3" t="s">
        <v>190</v>
      </c>
      <c r="DS3" t="s">
        <v>190</v>
      </c>
      <c r="DT3" t="s">
        <v>190</v>
      </c>
      <c r="DU3" t="s">
        <v>190</v>
      </c>
      <c r="DV3" t="s">
        <v>190</v>
      </c>
      <c r="DW3" t="s">
        <v>190</v>
      </c>
      <c r="DX3" t="s">
        <v>190</v>
      </c>
      <c r="DY3" t="s">
        <v>190</v>
      </c>
      <c r="DZ3" t="s">
        <v>190</v>
      </c>
      <c r="EA3" t="s">
        <v>190</v>
      </c>
      <c r="EB3" t="s">
        <v>190</v>
      </c>
      <c r="EC3" t="s">
        <v>190</v>
      </c>
      <c r="ED3" t="s">
        <v>190</v>
      </c>
      <c r="EE3" t="s">
        <v>190</v>
      </c>
      <c r="EF3" t="s">
        <v>190</v>
      </c>
      <c r="EG3" t="s">
        <v>190</v>
      </c>
      <c r="EH3" t="s">
        <v>190</v>
      </c>
      <c r="EI3" t="s">
        <v>190</v>
      </c>
      <c r="EJ3" t="s">
        <v>190</v>
      </c>
      <c r="EK3" t="s">
        <v>190</v>
      </c>
      <c r="EL3" t="s">
        <v>190</v>
      </c>
      <c r="EM3" t="s">
        <v>190</v>
      </c>
      <c r="EN3" t="s">
        <v>190</v>
      </c>
      <c r="EO3" t="s">
        <v>190</v>
      </c>
      <c r="EP3" t="s">
        <v>190</v>
      </c>
      <c r="EQ3" t="s">
        <v>190</v>
      </c>
      <c r="ER3" t="s">
        <v>190</v>
      </c>
      <c r="ES3" t="s">
        <v>190</v>
      </c>
      <c r="ET3" t="s">
        <v>190</v>
      </c>
      <c r="EU3" t="s">
        <v>190</v>
      </c>
      <c r="EV3" t="s">
        <v>190</v>
      </c>
      <c r="EW3" t="s">
        <v>190</v>
      </c>
    </row>
    <row r="4" spans="2:153" x14ac:dyDescent="0.35">
      <c r="B4" s="7" t="s">
        <v>112</v>
      </c>
      <c r="C4" s="8" t="s">
        <v>113</v>
      </c>
      <c r="D4" s="9" t="s">
        <v>114</v>
      </c>
      <c r="E4" s="7" t="s">
        <v>2</v>
      </c>
      <c r="F4" s="2" t="s">
        <v>193</v>
      </c>
      <c r="G4" s="2" t="s">
        <v>115</v>
      </c>
      <c r="H4" s="2" t="s">
        <v>74</v>
      </c>
      <c r="I4" s="2" t="s">
        <v>51</v>
      </c>
      <c r="J4" s="2" t="s">
        <v>67</v>
      </c>
      <c r="K4" s="2" t="s">
        <v>102</v>
      </c>
      <c r="L4" s="2" t="s">
        <v>68</v>
      </c>
      <c r="M4" s="2" t="s">
        <v>100</v>
      </c>
      <c r="N4" s="2" t="s">
        <v>66</v>
      </c>
      <c r="O4" s="2" t="s">
        <v>116</v>
      </c>
      <c r="P4" s="2" t="s">
        <v>117</v>
      </c>
      <c r="Q4" s="2" t="s">
        <v>45</v>
      </c>
      <c r="R4" s="2" t="s">
        <v>46</v>
      </c>
      <c r="S4" s="2" t="s">
        <v>47</v>
      </c>
      <c r="T4" s="2" t="s">
        <v>55</v>
      </c>
      <c r="U4" s="2" t="s">
        <v>56</v>
      </c>
      <c r="V4" s="2" t="s">
        <v>118</v>
      </c>
      <c r="W4" s="2" t="s">
        <v>110</v>
      </c>
      <c r="X4" s="2" t="s">
        <v>119</v>
      </c>
      <c r="Y4" s="2" t="s">
        <v>49</v>
      </c>
      <c r="Z4" s="2" t="s">
        <v>8</v>
      </c>
      <c r="AA4" s="2" t="s">
        <v>61</v>
      </c>
      <c r="AB4" s="2" t="s">
        <v>120</v>
      </c>
      <c r="AC4" s="2" t="s">
        <v>37</v>
      </c>
      <c r="AD4" s="2" t="s">
        <v>35</v>
      </c>
      <c r="AE4" s="2" t="s">
        <v>121</v>
      </c>
      <c r="AF4" s="2" t="s">
        <v>122</v>
      </c>
      <c r="AG4" s="2" t="s">
        <v>40</v>
      </c>
      <c r="AH4" s="2" t="s">
        <v>123</v>
      </c>
      <c r="AI4" s="2" t="s">
        <v>48</v>
      </c>
      <c r="AJ4" s="2" t="s">
        <v>76</v>
      </c>
      <c r="AK4" s="2" t="s">
        <v>9</v>
      </c>
      <c r="AL4" s="2" t="s">
        <v>124</v>
      </c>
      <c r="AM4" s="2" t="s">
        <v>125</v>
      </c>
      <c r="AN4" s="2" t="s">
        <v>126</v>
      </c>
      <c r="AO4" s="2" t="s">
        <v>57</v>
      </c>
      <c r="AP4" s="2" t="s">
        <v>99</v>
      </c>
      <c r="AQ4" s="2" t="s">
        <v>109</v>
      </c>
      <c r="AR4" s="2" t="s">
        <v>52</v>
      </c>
      <c r="AS4" s="2" t="s">
        <v>10</v>
      </c>
      <c r="AT4" s="2" t="s">
        <v>11</v>
      </c>
      <c r="AU4" s="2" t="s">
        <v>50</v>
      </c>
      <c r="AV4" s="2" t="s">
        <v>75</v>
      </c>
      <c r="AW4" s="2" t="s">
        <v>12</v>
      </c>
      <c r="AX4" s="2" t="s">
        <v>62</v>
      </c>
      <c r="AY4" s="2" t="s">
        <v>65</v>
      </c>
      <c r="AZ4" s="2" t="s">
        <v>127</v>
      </c>
      <c r="BA4" s="2" t="s">
        <v>107</v>
      </c>
      <c r="BB4" s="2" t="s">
        <v>108</v>
      </c>
      <c r="BC4" s="2" t="s">
        <v>128</v>
      </c>
      <c r="BD4" s="2" t="s">
        <v>31</v>
      </c>
      <c r="BE4" s="2" t="s">
        <v>129</v>
      </c>
      <c r="BF4" s="2" t="s">
        <v>130</v>
      </c>
      <c r="BG4" s="2" t="s">
        <v>131</v>
      </c>
      <c r="BH4" s="2" t="s">
        <v>34</v>
      </c>
      <c r="BI4" s="2" t="s">
        <v>132</v>
      </c>
      <c r="BJ4" s="2" t="s">
        <v>133</v>
      </c>
      <c r="BK4" s="2" t="s">
        <v>134</v>
      </c>
      <c r="BL4" s="2" t="s">
        <v>135</v>
      </c>
      <c r="BM4" s="2" t="s">
        <v>136</v>
      </c>
      <c r="BN4" s="2" t="s">
        <v>137</v>
      </c>
      <c r="BO4" s="2" t="s">
        <v>38</v>
      </c>
      <c r="BP4" s="2" t="s">
        <v>39</v>
      </c>
      <c r="BQ4" s="2" t="s">
        <v>41</v>
      </c>
      <c r="BR4" s="2" t="s">
        <v>43</v>
      </c>
      <c r="BS4" s="2" t="s">
        <v>44</v>
      </c>
      <c r="BT4" s="2" t="s">
        <v>73</v>
      </c>
      <c r="BU4" s="2" t="s">
        <v>138</v>
      </c>
      <c r="BV4" s="2" t="s">
        <v>139</v>
      </c>
      <c r="BW4" s="2" t="s">
        <v>140</v>
      </c>
      <c r="BX4" s="2" t="s">
        <v>141</v>
      </c>
      <c r="BY4" s="2" t="s">
        <v>142</v>
      </c>
      <c r="BZ4" s="2" t="s">
        <v>143</v>
      </c>
      <c r="CA4" s="2" t="s">
        <v>144</v>
      </c>
      <c r="CB4" s="2" t="s">
        <v>145</v>
      </c>
      <c r="CC4" s="2" t="s">
        <v>146</v>
      </c>
      <c r="CD4" s="2" t="s">
        <v>147</v>
      </c>
      <c r="CE4" s="2" t="s">
        <v>77</v>
      </c>
      <c r="CF4" s="2" t="s">
        <v>78</v>
      </c>
      <c r="CG4" s="2" t="s">
        <v>79</v>
      </c>
      <c r="CH4" s="2" t="s">
        <v>80</v>
      </c>
      <c r="CI4" s="2" t="s">
        <v>81</v>
      </c>
      <c r="CJ4" s="2" t="s">
        <v>82</v>
      </c>
      <c r="CK4" s="2" t="s">
        <v>83</v>
      </c>
      <c r="CL4" s="2" t="s">
        <v>84</v>
      </c>
      <c r="CM4" s="2" t="s">
        <v>22</v>
      </c>
      <c r="CN4" s="2" t="s">
        <v>85</v>
      </c>
      <c r="CO4" s="2" t="s">
        <v>86</v>
      </c>
      <c r="CP4" s="2" t="s">
        <v>87</v>
      </c>
      <c r="CQ4" s="2" t="s">
        <v>88</v>
      </c>
      <c r="CR4" s="2" t="s">
        <v>89</v>
      </c>
      <c r="CS4" s="2" t="s">
        <v>23</v>
      </c>
      <c r="CT4" s="2" t="s">
        <v>90</v>
      </c>
      <c r="CU4" s="2" t="s">
        <v>91</v>
      </c>
      <c r="CV4" s="2" t="s">
        <v>92</v>
      </c>
      <c r="CW4" s="2" t="s">
        <v>13</v>
      </c>
      <c r="CX4" s="2" t="s">
        <v>14</v>
      </c>
      <c r="CY4" s="2" t="s">
        <v>3</v>
      </c>
      <c r="CZ4" s="2" t="s">
        <v>4</v>
      </c>
      <c r="DA4" s="2" t="s">
        <v>93</v>
      </c>
      <c r="DB4" s="2" t="s">
        <v>94</v>
      </c>
      <c r="DC4" s="2" t="s">
        <v>95</v>
      </c>
      <c r="DD4" s="2" t="s">
        <v>96</v>
      </c>
      <c r="DE4" s="2" t="s">
        <v>97</v>
      </c>
      <c r="DF4" s="2" t="s">
        <v>98</v>
      </c>
      <c r="DG4" s="2" t="s">
        <v>5</v>
      </c>
      <c r="DH4" s="2" t="s">
        <v>6</v>
      </c>
      <c r="DI4" s="2" t="s">
        <v>15</v>
      </c>
      <c r="DJ4" s="2" t="s">
        <v>148</v>
      </c>
      <c r="DK4" s="2" t="s">
        <v>149</v>
      </c>
      <c r="DL4" s="2" t="s">
        <v>150</v>
      </c>
      <c r="DM4" s="2" t="s">
        <v>59</v>
      </c>
      <c r="DN4" s="2" t="s">
        <v>60</v>
      </c>
      <c r="DO4" s="2" t="s">
        <v>63</v>
      </c>
      <c r="DP4" s="2" t="s">
        <v>64</v>
      </c>
      <c r="DQ4" s="2" t="s">
        <v>71</v>
      </c>
      <c r="DR4" s="2" t="s">
        <v>16</v>
      </c>
      <c r="DS4" s="2" t="s">
        <v>17</v>
      </c>
      <c r="DT4" s="2" t="s">
        <v>18</v>
      </c>
      <c r="DU4" s="2" t="s">
        <v>32</v>
      </c>
      <c r="DV4" s="2" t="s">
        <v>33</v>
      </c>
      <c r="DW4" s="2" t="s">
        <v>151</v>
      </c>
      <c r="DX4" s="2" t="s">
        <v>152</v>
      </c>
      <c r="DY4" s="2" t="s">
        <v>153</v>
      </c>
      <c r="DZ4" s="2" t="s">
        <v>154</v>
      </c>
      <c r="EA4" s="2" t="s">
        <v>155</v>
      </c>
      <c r="EB4" s="2" t="s">
        <v>156</v>
      </c>
      <c r="EC4" s="2" t="s">
        <v>157</v>
      </c>
      <c r="ED4" s="2" t="s">
        <v>158</v>
      </c>
      <c r="EE4" s="2" t="s">
        <v>36</v>
      </c>
      <c r="EF4" s="2" t="s">
        <v>72</v>
      </c>
      <c r="EG4" s="2" t="s">
        <v>7</v>
      </c>
      <c r="EH4" s="2" t="s">
        <v>42</v>
      </c>
      <c r="EI4" s="2" t="s">
        <v>159</v>
      </c>
      <c r="EJ4" s="2" t="s">
        <v>160</v>
      </c>
      <c r="EK4" s="2" t="s">
        <v>161</v>
      </c>
      <c r="EL4" s="2" t="s">
        <v>162</v>
      </c>
      <c r="EM4" s="2" t="s">
        <v>163</v>
      </c>
      <c r="EN4" s="2" t="s">
        <v>164</v>
      </c>
      <c r="EO4" s="2" t="s">
        <v>53</v>
      </c>
      <c r="EP4" s="2" t="s">
        <v>19</v>
      </c>
      <c r="EQ4" s="2" t="s">
        <v>165</v>
      </c>
      <c r="ER4" s="2" t="s">
        <v>54</v>
      </c>
      <c r="ES4" s="2" t="s">
        <v>166</v>
      </c>
      <c r="ET4" s="2" t="s">
        <v>58</v>
      </c>
      <c r="EU4" s="2" t="s">
        <v>69</v>
      </c>
      <c r="EV4" s="2" t="s">
        <v>70</v>
      </c>
      <c r="EW4" s="2" t="s">
        <v>20</v>
      </c>
    </row>
    <row r="5" spans="2:153" x14ac:dyDescent="0.35">
      <c r="B5" s="10">
        <v>1</v>
      </c>
      <c r="C5" s="10" t="s">
        <v>167</v>
      </c>
      <c r="D5" s="10" t="s">
        <v>168</v>
      </c>
      <c r="E5" s="3" t="s">
        <v>169</v>
      </c>
      <c r="F5" s="6">
        <v>3875.179659430948</v>
      </c>
      <c r="G5" s="4">
        <v>0</v>
      </c>
      <c r="H5" s="4">
        <v>0</v>
      </c>
      <c r="I5" s="4">
        <v>0.60381099999999999</v>
      </c>
      <c r="J5" s="4">
        <v>31.250351722600001</v>
      </c>
      <c r="K5" s="4">
        <v>0</v>
      </c>
      <c r="L5" s="4">
        <v>359.71836496269987</v>
      </c>
      <c r="M5" s="4">
        <v>0</v>
      </c>
      <c r="N5" s="4">
        <v>16.293484620000001</v>
      </c>
      <c r="O5" s="4">
        <v>0</v>
      </c>
      <c r="P5" s="4">
        <v>0</v>
      </c>
      <c r="Q5" s="4">
        <v>61.688105555604892</v>
      </c>
      <c r="R5" s="4">
        <v>67.284090899999995</v>
      </c>
      <c r="S5" s="4">
        <v>57.991747840000002</v>
      </c>
      <c r="T5" s="4">
        <v>1.76365924673734</v>
      </c>
      <c r="U5" s="4">
        <v>0.23839807749001291</v>
      </c>
      <c r="V5" s="4">
        <v>0</v>
      </c>
      <c r="W5" s="4">
        <v>0</v>
      </c>
      <c r="X5" s="4">
        <v>0</v>
      </c>
      <c r="Y5" s="4">
        <v>69.583191529999979</v>
      </c>
      <c r="Z5" s="4">
        <v>0</v>
      </c>
      <c r="AA5" s="4">
        <v>47.568029920000001</v>
      </c>
      <c r="AB5" s="4">
        <v>0</v>
      </c>
      <c r="AC5" s="4">
        <v>41.879823146666666</v>
      </c>
      <c r="AD5" s="4">
        <v>19.794807079459421</v>
      </c>
      <c r="AE5" s="4">
        <v>0</v>
      </c>
      <c r="AF5" s="4">
        <v>77.906259825000021</v>
      </c>
      <c r="AG5" s="4">
        <v>22.5048365</v>
      </c>
      <c r="AH5" s="4">
        <v>0</v>
      </c>
      <c r="AI5" s="4">
        <v>86.711815395555561</v>
      </c>
      <c r="AJ5" s="4">
        <v>387.94081126000015</v>
      </c>
      <c r="AK5" s="4">
        <v>15.857308693300002</v>
      </c>
      <c r="AL5" s="4">
        <v>0</v>
      </c>
      <c r="AM5" s="4">
        <v>0</v>
      </c>
      <c r="AN5" s="4">
        <v>0</v>
      </c>
      <c r="AO5" s="4">
        <v>10.31709848</v>
      </c>
      <c r="AP5" s="4">
        <v>2.8020755400000001</v>
      </c>
      <c r="AQ5" s="4">
        <v>0</v>
      </c>
      <c r="AR5" s="4">
        <v>8.2696833999999981</v>
      </c>
      <c r="AS5" s="4">
        <v>0</v>
      </c>
      <c r="AT5" s="4">
        <v>60.870391278099987</v>
      </c>
      <c r="AU5" s="4">
        <v>3.7419148799999995</v>
      </c>
      <c r="AV5" s="4">
        <v>27.955154479999997</v>
      </c>
      <c r="AW5" s="4">
        <v>0</v>
      </c>
      <c r="AX5" s="4">
        <v>12.958315759999998</v>
      </c>
      <c r="AY5" s="4">
        <v>25.703714539999996</v>
      </c>
      <c r="AZ5" s="4">
        <v>0</v>
      </c>
      <c r="BA5" s="4">
        <v>0</v>
      </c>
      <c r="BB5" s="4">
        <v>12.826717200000001</v>
      </c>
      <c r="BC5" s="4">
        <v>0</v>
      </c>
      <c r="BD5" s="4">
        <v>35.470791130315789</v>
      </c>
      <c r="BE5" s="4">
        <v>0</v>
      </c>
      <c r="BF5" s="4">
        <v>0</v>
      </c>
      <c r="BG5" s="4">
        <v>0</v>
      </c>
      <c r="BH5" s="4">
        <v>65.96832658999999</v>
      </c>
      <c r="BI5" s="4">
        <v>0</v>
      </c>
      <c r="BJ5" s="4">
        <v>0</v>
      </c>
      <c r="BK5" s="4">
        <v>0</v>
      </c>
      <c r="BL5" s="4">
        <v>0</v>
      </c>
      <c r="BM5" s="4">
        <v>0</v>
      </c>
      <c r="BN5" s="4">
        <v>0</v>
      </c>
      <c r="BO5" s="4">
        <v>0</v>
      </c>
      <c r="BP5" s="4">
        <v>0</v>
      </c>
      <c r="BQ5" s="4">
        <v>10.844278999</v>
      </c>
      <c r="BR5" s="4">
        <v>2.0692018999999999</v>
      </c>
      <c r="BS5" s="4">
        <v>10.030795350000002</v>
      </c>
      <c r="BT5" s="4">
        <v>0</v>
      </c>
      <c r="BU5" s="4">
        <v>0</v>
      </c>
      <c r="BV5" s="4">
        <v>0</v>
      </c>
      <c r="BW5" s="4">
        <v>0</v>
      </c>
      <c r="BX5" s="4">
        <v>0</v>
      </c>
      <c r="BY5" s="4">
        <v>0</v>
      </c>
      <c r="BZ5" s="4">
        <v>0</v>
      </c>
      <c r="CA5" s="4">
        <v>0</v>
      </c>
      <c r="CB5" s="4">
        <v>0</v>
      </c>
      <c r="CC5" s="4">
        <v>0</v>
      </c>
      <c r="CD5" s="4">
        <v>0</v>
      </c>
      <c r="CE5" s="4">
        <v>50.12787500000001</v>
      </c>
      <c r="CF5" s="4">
        <v>9.18173466</v>
      </c>
      <c r="CG5" s="4">
        <v>0.84429743999999995</v>
      </c>
      <c r="CH5" s="4">
        <v>3.2942676900000003</v>
      </c>
      <c r="CI5" s="4">
        <v>116.67087114970001</v>
      </c>
      <c r="CJ5" s="4">
        <v>58.568671359438859</v>
      </c>
      <c r="CK5" s="4">
        <v>121.04778683869996</v>
      </c>
      <c r="CL5" s="4">
        <v>6.497349197550002</v>
      </c>
      <c r="CM5" s="4">
        <v>53.2791660233</v>
      </c>
      <c r="CN5" s="4">
        <v>24.44148881085</v>
      </c>
      <c r="CO5" s="4">
        <v>0.77645210999999992</v>
      </c>
      <c r="CP5" s="4">
        <v>0</v>
      </c>
      <c r="CQ5" s="4">
        <v>1.1139372604000002</v>
      </c>
      <c r="CR5" s="4">
        <v>20.932730447800001</v>
      </c>
      <c r="CS5" s="4">
        <v>75.557799987399974</v>
      </c>
      <c r="CT5" s="4">
        <v>45.004927849072843</v>
      </c>
      <c r="CU5" s="4">
        <v>9.417010910351852</v>
      </c>
      <c r="CV5" s="4">
        <v>2.1150556000000003</v>
      </c>
      <c r="CW5" s="4">
        <v>0.60500428199999989</v>
      </c>
      <c r="CX5" s="4">
        <v>6.0488836633999998</v>
      </c>
      <c r="CY5" s="4">
        <v>19.532842129675675</v>
      </c>
      <c r="CZ5" s="4">
        <v>2.2985949999999997</v>
      </c>
      <c r="DA5" s="4">
        <v>299.19743183949993</v>
      </c>
      <c r="DB5" s="4">
        <v>17.518366739999998</v>
      </c>
      <c r="DC5" s="4">
        <v>1.8341250000000002</v>
      </c>
      <c r="DD5" s="4">
        <v>10.6140904</v>
      </c>
      <c r="DE5" s="4">
        <v>19.534766442400002</v>
      </c>
      <c r="DF5" s="4">
        <v>1.2685994999999999</v>
      </c>
      <c r="DG5" s="4">
        <v>7.9055065999999998</v>
      </c>
      <c r="DH5" s="4">
        <v>5.4479693999999999</v>
      </c>
      <c r="DI5" s="4">
        <v>13.976011229999999</v>
      </c>
      <c r="DJ5" s="4">
        <v>0</v>
      </c>
      <c r="DK5" s="4">
        <v>0</v>
      </c>
      <c r="DL5" s="4">
        <v>0</v>
      </c>
      <c r="DM5" s="4">
        <v>21.213637838</v>
      </c>
      <c r="DN5" s="4">
        <v>1.8687368540000004</v>
      </c>
      <c r="DO5" s="4">
        <v>9.2364517779687105</v>
      </c>
      <c r="DP5" s="4">
        <v>9.0207752499999998</v>
      </c>
      <c r="DQ5" s="4">
        <v>10.318549245</v>
      </c>
      <c r="DR5" s="4">
        <v>32.892946486248334</v>
      </c>
      <c r="DS5" s="4">
        <v>72.016060849938995</v>
      </c>
      <c r="DT5" s="4">
        <v>34.394963772068415</v>
      </c>
      <c r="DU5" s="4">
        <v>1.3301619860163973</v>
      </c>
      <c r="DV5" s="4">
        <v>4.4244244588615214</v>
      </c>
      <c r="DW5" s="4">
        <v>0</v>
      </c>
      <c r="DX5" s="4">
        <v>0</v>
      </c>
      <c r="DY5" s="4">
        <v>0</v>
      </c>
      <c r="DZ5" s="4">
        <v>0</v>
      </c>
      <c r="EA5" s="4">
        <v>0</v>
      </c>
      <c r="EB5" s="4">
        <v>0</v>
      </c>
      <c r="EC5" s="4">
        <v>0</v>
      </c>
      <c r="ED5" s="4">
        <v>0</v>
      </c>
      <c r="EE5" s="4">
        <v>8.7181577249443016</v>
      </c>
      <c r="EF5" s="4">
        <v>0.42302361530484095</v>
      </c>
      <c r="EG5" s="4">
        <v>0</v>
      </c>
      <c r="EH5" s="4">
        <v>584.04009430278654</v>
      </c>
      <c r="EI5" s="4">
        <v>0</v>
      </c>
      <c r="EJ5" s="4">
        <v>0</v>
      </c>
      <c r="EK5" s="4">
        <v>0</v>
      </c>
      <c r="EL5" s="4">
        <v>0</v>
      </c>
      <c r="EM5" s="4">
        <v>0</v>
      </c>
      <c r="EN5" s="4">
        <v>0</v>
      </c>
      <c r="EO5" s="4">
        <v>85.604518490724942</v>
      </c>
      <c r="EP5" s="4">
        <v>0</v>
      </c>
      <c r="EQ5" s="4">
        <v>0</v>
      </c>
      <c r="ER5" s="4">
        <v>87.557771138254509</v>
      </c>
      <c r="ES5" s="4">
        <v>0</v>
      </c>
      <c r="ET5" s="4">
        <v>50.662481089999993</v>
      </c>
      <c r="EU5" s="4">
        <v>98.309505498507079</v>
      </c>
      <c r="EV5" s="4">
        <v>17.725172356155124</v>
      </c>
      <c r="EW5" s="4">
        <v>84.361255332098622</v>
      </c>
    </row>
    <row r="6" spans="2:153" x14ac:dyDescent="0.35">
      <c r="B6" s="10">
        <v>2</v>
      </c>
      <c r="C6" s="10" t="s">
        <v>167</v>
      </c>
      <c r="D6" s="10" t="s">
        <v>168</v>
      </c>
      <c r="E6" s="3" t="s">
        <v>170</v>
      </c>
      <c r="F6" s="6">
        <v>3806.8529502619481</v>
      </c>
      <c r="G6" s="4">
        <v>0</v>
      </c>
      <c r="H6" s="4">
        <v>0</v>
      </c>
      <c r="I6" s="4">
        <v>95.811883236000043</v>
      </c>
      <c r="J6" s="4">
        <v>17.267135415300004</v>
      </c>
      <c r="K6" s="4">
        <v>0</v>
      </c>
      <c r="L6" s="4">
        <v>96.24773079000002</v>
      </c>
      <c r="M6" s="4">
        <v>8.4664029600000017</v>
      </c>
      <c r="N6" s="4">
        <v>25.573495499955602</v>
      </c>
      <c r="O6" s="4">
        <v>0</v>
      </c>
      <c r="P6" s="4">
        <v>0</v>
      </c>
      <c r="Q6" s="4">
        <v>19.604748411000003</v>
      </c>
      <c r="R6" s="4">
        <v>10.0415260488</v>
      </c>
      <c r="S6" s="4">
        <v>22.481845718399995</v>
      </c>
      <c r="T6" s="4">
        <v>10.395672828</v>
      </c>
      <c r="U6" s="4">
        <v>13.879194989999998</v>
      </c>
      <c r="V6" s="4">
        <v>0</v>
      </c>
      <c r="W6" s="4">
        <v>0</v>
      </c>
      <c r="X6" s="4">
        <v>0</v>
      </c>
      <c r="Y6" s="4">
        <v>58.382975315373422</v>
      </c>
      <c r="Z6" s="4">
        <v>14.578841300324115</v>
      </c>
      <c r="AA6" s="4">
        <v>122.70358473029016</v>
      </c>
      <c r="AB6" s="4">
        <v>0</v>
      </c>
      <c r="AC6" s="4">
        <v>4.4504834026045783</v>
      </c>
      <c r="AD6" s="4">
        <v>30.667871528431391</v>
      </c>
      <c r="AE6" s="4">
        <v>0</v>
      </c>
      <c r="AF6" s="4">
        <v>63.797451664643788</v>
      </c>
      <c r="AG6" s="4">
        <v>3.4612580496507412</v>
      </c>
      <c r="AH6" s="4">
        <v>0</v>
      </c>
      <c r="AI6" s="4">
        <v>61.099649312719137</v>
      </c>
      <c r="AJ6" s="4">
        <v>56.421951042332338</v>
      </c>
      <c r="AK6" s="4">
        <v>9.3335469353763578</v>
      </c>
      <c r="AL6" s="4">
        <v>0</v>
      </c>
      <c r="AM6" s="4">
        <v>0</v>
      </c>
      <c r="AN6" s="4">
        <v>0</v>
      </c>
      <c r="AO6" s="4">
        <v>4.7763971085691503</v>
      </c>
      <c r="AP6" s="4">
        <v>1.0650325558818265</v>
      </c>
      <c r="AQ6" s="4">
        <v>0</v>
      </c>
      <c r="AR6" s="4">
        <v>3.6288100000000005</v>
      </c>
      <c r="AS6" s="4">
        <v>2.4047923214662226</v>
      </c>
      <c r="AT6" s="4">
        <v>24.862684748190759</v>
      </c>
      <c r="AU6" s="4">
        <v>0.86675783940586837</v>
      </c>
      <c r="AV6" s="4">
        <v>6.3703896751005207</v>
      </c>
      <c r="AW6" s="4">
        <v>0.92973844855451637</v>
      </c>
      <c r="AX6" s="4">
        <v>0.63308135610092786</v>
      </c>
      <c r="AY6" s="4">
        <v>68.174636850503134</v>
      </c>
      <c r="AZ6" s="4">
        <v>0</v>
      </c>
      <c r="BA6" s="4">
        <v>3.2130198000000001</v>
      </c>
      <c r="BB6" s="4">
        <v>37.936627938551005</v>
      </c>
      <c r="BC6" s="4">
        <v>0</v>
      </c>
      <c r="BD6" s="4">
        <v>3.3037332282250347</v>
      </c>
      <c r="BE6" s="4">
        <v>0</v>
      </c>
      <c r="BF6" s="4">
        <v>0</v>
      </c>
      <c r="BG6" s="4">
        <v>0</v>
      </c>
      <c r="BH6" s="4">
        <v>138.68839774194436</v>
      </c>
      <c r="BI6" s="4">
        <v>0</v>
      </c>
      <c r="BJ6" s="4">
        <v>0</v>
      </c>
      <c r="BK6" s="4">
        <v>0</v>
      </c>
      <c r="BL6" s="4">
        <v>0</v>
      </c>
      <c r="BM6" s="4">
        <v>0</v>
      </c>
      <c r="BN6" s="4">
        <v>0</v>
      </c>
      <c r="BO6" s="4">
        <v>0</v>
      </c>
      <c r="BP6" s="4">
        <v>0</v>
      </c>
      <c r="BQ6" s="4">
        <v>73.29949378281998</v>
      </c>
      <c r="BR6" s="4">
        <v>40.19686996001866</v>
      </c>
      <c r="BS6" s="4">
        <v>33.988108290098417</v>
      </c>
      <c r="BT6" s="4">
        <v>29.780134468404999</v>
      </c>
      <c r="BU6" s="4">
        <v>0</v>
      </c>
      <c r="BV6" s="4">
        <v>0</v>
      </c>
      <c r="BW6" s="4">
        <v>0</v>
      </c>
      <c r="BX6" s="4">
        <v>0</v>
      </c>
      <c r="BY6" s="4">
        <v>0</v>
      </c>
      <c r="BZ6" s="4">
        <v>0</v>
      </c>
      <c r="CA6" s="4">
        <v>0</v>
      </c>
      <c r="CB6" s="4">
        <v>0</v>
      </c>
      <c r="CC6" s="4">
        <v>0</v>
      </c>
      <c r="CD6" s="4">
        <v>0</v>
      </c>
      <c r="CE6" s="4">
        <v>4.0268299681929882</v>
      </c>
      <c r="CF6" s="4">
        <v>0</v>
      </c>
      <c r="CG6" s="4">
        <v>0</v>
      </c>
      <c r="CH6" s="4">
        <v>0</v>
      </c>
      <c r="CI6" s="4">
        <v>21.965864159999263</v>
      </c>
      <c r="CJ6" s="4">
        <v>20.995396798832271</v>
      </c>
      <c r="CK6" s="4">
        <v>61.58269091295525</v>
      </c>
      <c r="CL6" s="4">
        <v>6.7272039310607568</v>
      </c>
      <c r="CM6" s="4">
        <v>25.292987179495537</v>
      </c>
      <c r="CN6" s="4">
        <v>5.7968199092327692</v>
      </c>
      <c r="CO6" s="4">
        <v>1.2642564878726315</v>
      </c>
      <c r="CP6" s="4">
        <v>0</v>
      </c>
      <c r="CQ6" s="4">
        <v>25.150547615195229</v>
      </c>
      <c r="CR6" s="4">
        <v>15.941614024507253</v>
      </c>
      <c r="CS6" s="4">
        <v>18.006896431815868</v>
      </c>
      <c r="CT6" s="4">
        <v>90.340661387770581</v>
      </c>
      <c r="CU6" s="4">
        <v>33.476074702398762</v>
      </c>
      <c r="CV6" s="4">
        <v>25.219722447911082</v>
      </c>
      <c r="CW6" s="4">
        <v>6.450788135446528</v>
      </c>
      <c r="CX6" s="4">
        <v>6.8423852709927475</v>
      </c>
      <c r="CY6" s="4">
        <v>2.4636960409691695</v>
      </c>
      <c r="CZ6" s="4">
        <v>2.8590451635116563</v>
      </c>
      <c r="DA6" s="4">
        <v>61.216775079706466</v>
      </c>
      <c r="DB6" s="4">
        <v>11.929206581911419</v>
      </c>
      <c r="DC6" s="4">
        <v>13.215034198995282</v>
      </c>
      <c r="DD6" s="4">
        <v>3.901872273892371</v>
      </c>
      <c r="DE6" s="4">
        <v>8.7507522801137902</v>
      </c>
      <c r="DF6" s="4">
        <v>6.53323474825166</v>
      </c>
      <c r="DG6" s="4">
        <v>3.6450204104729629</v>
      </c>
      <c r="DH6" s="4">
        <v>21.737443502390075</v>
      </c>
      <c r="DI6" s="4">
        <v>4.741486175531163</v>
      </c>
      <c r="DJ6" s="4">
        <v>0</v>
      </c>
      <c r="DK6" s="4">
        <v>0</v>
      </c>
      <c r="DL6" s="4">
        <v>0</v>
      </c>
      <c r="DM6" s="4">
        <v>71.001296878404588</v>
      </c>
      <c r="DN6" s="4">
        <v>12.716750128859548</v>
      </c>
      <c r="DO6" s="4">
        <v>7.4887873785018186</v>
      </c>
      <c r="DP6" s="4">
        <v>26.088769638843569</v>
      </c>
      <c r="DQ6" s="4">
        <v>73.349182364231211</v>
      </c>
      <c r="DR6" s="4">
        <v>15.505510569518316</v>
      </c>
      <c r="DS6" s="4">
        <v>173.44904316661899</v>
      </c>
      <c r="DT6" s="4">
        <v>53.381661992962741</v>
      </c>
      <c r="DU6" s="4">
        <v>17.005804526667717</v>
      </c>
      <c r="DV6" s="4">
        <v>13.099644325798076</v>
      </c>
      <c r="DW6" s="4">
        <v>0</v>
      </c>
      <c r="DX6" s="4">
        <v>0</v>
      </c>
      <c r="DY6" s="4">
        <v>0</v>
      </c>
      <c r="DZ6" s="4">
        <v>0</v>
      </c>
      <c r="EA6" s="4">
        <v>0</v>
      </c>
      <c r="EB6" s="4">
        <v>0</v>
      </c>
      <c r="EC6" s="4">
        <v>0</v>
      </c>
      <c r="ED6" s="4">
        <v>0</v>
      </c>
      <c r="EE6" s="4">
        <v>13.583319723686975</v>
      </c>
      <c r="EF6" s="4">
        <v>17.376125136347238</v>
      </c>
      <c r="EG6" s="4">
        <v>301.56428895478058</v>
      </c>
      <c r="EH6" s="4">
        <v>662.94928084637013</v>
      </c>
      <c r="EI6" s="4">
        <v>0</v>
      </c>
      <c r="EJ6" s="4">
        <v>0</v>
      </c>
      <c r="EK6" s="4">
        <v>0</v>
      </c>
      <c r="EL6" s="4">
        <v>0</v>
      </c>
      <c r="EM6" s="4">
        <v>0</v>
      </c>
      <c r="EN6" s="4">
        <v>0</v>
      </c>
      <c r="EO6" s="4">
        <v>94.946747910162188</v>
      </c>
      <c r="EP6" s="4">
        <v>0</v>
      </c>
      <c r="EQ6" s="4">
        <v>0</v>
      </c>
      <c r="ER6" s="4">
        <v>0.16905364831052339</v>
      </c>
      <c r="ES6" s="4">
        <v>0</v>
      </c>
      <c r="ET6" s="4">
        <v>40.437292397640554</v>
      </c>
      <c r="EU6" s="4">
        <v>355.49200149185856</v>
      </c>
      <c r="EV6" s="4">
        <v>67.92180103553352</v>
      </c>
      <c r="EW6" s="4">
        <v>60.466327034387973</v>
      </c>
    </row>
    <row r="7" spans="2:153" x14ac:dyDescent="0.35">
      <c r="B7" s="10">
        <v>2</v>
      </c>
      <c r="C7" s="10"/>
      <c r="D7" s="10" t="s">
        <v>168</v>
      </c>
      <c r="E7" s="3" t="s">
        <v>171</v>
      </c>
      <c r="F7" s="6">
        <v>5832.2143230488109</v>
      </c>
      <c r="G7" s="4">
        <v>0</v>
      </c>
      <c r="H7" s="4">
        <v>0</v>
      </c>
      <c r="I7" s="4">
        <v>165.39869460600005</v>
      </c>
      <c r="J7" s="4">
        <v>41.257148415300009</v>
      </c>
      <c r="K7" s="4">
        <v>0</v>
      </c>
      <c r="L7" s="4">
        <v>96.24773079000002</v>
      </c>
      <c r="M7" s="4">
        <v>8.4664029600000017</v>
      </c>
      <c r="N7" s="4">
        <v>25.573495499955602</v>
      </c>
      <c r="O7" s="4">
        <v>0</v>
      </c>
      <c r="P7" s="4">
        <v>0</v>
      </c>
      <c r="Q7" s="4">
        <v>19.604748411000003</v>
      </c>
      <c r="R7" s="4">
        <v>10.0415260488</v>
      </c>
      <c r="S7" s="4">
        <v>22.481845718399995</v>
      </c>
      <c r="T7" s="4">
        <v>10.395672828</v>
      </c>
      <c r="U7" s="4">
        <v>13.879194989999998</v>
      </c>
      <c r="V7" s="4">
        <v>0</v>
      </c>
      <c r="W7" s="4">
        <v>0</v>
      </c>
      <c r="X7" s="4">
        <v>0</v>
      </c>
      <c r="Y7" s="4">
        <v>28.920977704921651</v>
      </c>
      <c r="Z7" s="4">
        <v>2.4867295600000001</v>
      </c>
      <c r="AA7" s="4">
        <v>57.624148468188636</v>
      </c>
      <c r="AB7" s="4">
        <v>0</v>
      </c>
      <c r="AC7" s="4">
        <v>7.0017711999999985</v>
      </c>
      <c r="AD7" s="4">
        <v>15.625679999999999</v>
      </c>
      <c r="AE7" s="4">
        <v>0</v>
      </c>
      <c r="AF7" s="4">
        <v>32.505632599999998</v>
      </c>
      <c r="AG7" s="4">
        <v>11.775398740000002</v>
      </c>
      <c r="AH7" s="4">
        <v>0</v>
      </c>
      <c r="AI7" s="4">
        <v>58.353324899999997</v>
      </c>
      <c r="AJ7" s="4">
        <v>45.140720399999999</v>
      </c>
      <c r="AK7" s="4">
        <v>5.8324688000000009</v>
      </c>
      <c r="AL7" s="4">
        <v>0</v>
      </c>
      <c r="AM7" s="4">
        <v>0</v>
      </c>
      <c r="AN7" s="4">
        <v>0</v>
      </c>
      <c r="AO7" s="4">
        <v>2.7937266500000004</v>
      </c>
      <c r="AP7" s="4">
        <v>1.6755739999999999</v>
      </c>
      <c r="AQ7" s="4">
        <v>0</v>
      </c>
      <c r="AR7" s="4">
        <v>3.6288100000000005</v>
      </c>
      <c r="AS7" s="4">
        <v>2.8121100000000003E-2</v>
      </c>
      <c r="AT7" s="4">
        <v>337.43962038400002</v>
      </c>
      <c r="AU7" s="4">
        <v>0.14353937999999999</v>
      </c>
      <c r="AV7" s="4">
        <v>1.0549680000000001</v>
      </c>
      <c r="AW7" s="4">
        <v>0.15396927999999999</v>
      </c>
      <c r="AX7" s="4">
        <v>0.10484139999999999</v>
      </c>
      <c r="AY7" s="4">
        <v>68.174636850503134</v>
      </c>
      <c r="AZ7" s="4">
        <v>0</v>
      </c>
      <c r="BA7" s="4">
        <v>3.2130198000000001</v>
      </c>
      <c r="BB7" s="4">
        <v>20.22319465</v>
      </c>
      <c r="BC7" s="4">
        <v>0</v>
      </c>
      <c r="BD7" s="4">
        <v>31.44818780000001</v>
      </c>
      <c r="BE7" s="4">
        <v>0</v>
      </c>
      <c r="BF7" s="4">
        <v>0</v>
      </c>
      <c r="BG7" s="4">
        <v>0</v>
      </c>
      <c r="BH7" s="4">
        <v>83.031066770000024</v>
      </c>
      <c r="BI7" s="4">
        <v>0</v>
      </c>
      <c r="BJ7" s="4">
        <v>0</v>
      </c>
      <c r="BK7" s="4">
        <v>0</v>
      </c>
      <c r="BL7" s="4">
        <v>0</v>
      </c>
      <c r="BM7" s="4">
        <v>0</v>
      </c>
      <c r="BN7" s="4">
        <v>0</v>
      </c>
      <c r="BO7" s="4">
        <v>0</v>
      </c>
      <c r="BP7" s="4">
        <v>0</v>
      </c>
      <c r="BQ7" s="4">
        <v>96.347301175000013</v>
      </c>
      <c r="BR7" s="4">
        <v>21.428080715</v>
      </c>
      <c r="BS7" s="4">
        <v>18.118324350000005</v>
      </c>
      <c r="BT7" s="4">
        <v>15.875144649999999</v>
      </c>
      <c r="BU7" s="4">
        <v>0</v>
      </c>
      <c r="BV7" s="4">
        <v>0</v>
      </c>
      <c r="BW7" s="4">
        <v>0</v>
      </c>
      <c r="BX7" s="4">
        <v>0</v>
      </c>
      <c r="BY7" s="4">
        <v>0</v>
      </c>
      <c r="BZ7" s="4">
        <v>0</v>
      </c>
      <c r="CA7" s="4">
        <v>0</v>
      </c>
      <c r="CB7" s="4">
        <v>0</v>
      </c>
      <c r="CC7" s="4">
        <v>0</v>
      </c>
      <c r="CD7" s="4">
        <v>0</v>
      </c>
      <c r="CE7" s="4">
        <v>2.6222138999999998</v>
      </c>
      <c r="CF7" s="4">
        <v>0</v>
      </c>
      <c r="CG7" s="4">
        <v>0</v>
      </c>
      <c r="CH7" s="4">
        <v>0</v>
      </c>
      <c r="CI7" s="4">
        <v>11.709526405000002</v>
      </c>
      <c r="CJ7" s="4">
        <v>11.192191275000001</v>
      </c>
      <c r="CK7" s="4">
        <v>32.828398649999997</v>
      </c>
      <c r="CL7" s="4">
        <v>3.5861267050000003</v>
      </c>
      <c r="CM7" s="4">
        <v>13.4831436215</v>
      </c>
      <c r="CN7" s="4">
        <v>3.0901591350000004</v>
      </c>
      <c r="CO7" s="4">
        <v>0.67394775000000007</v>
      </c>
      <c r="CP7" s="4">
        <v>0</v>
      </c>
      <c r="CQ7" s="4">
        <v>13.407212175000007</v>
      </c>
      <c r="CR7" s="4">
        <v>8.4981291425000016</v>
      </c>
      <c r="CS7" s="4">
        <v>9.5990864600000005</v>
      </c>
      <c r="CT7" s="4">
        <v>48.158649815000011</v>
      </c>
      <c r="CU7" s="4">
        <v>17.845370335000013</v>
      </c>
      <c r="CV7" s="4">
        <v>13.444087780000004</v>
      </c>
      <c r="CW7" s="4">
        <v>3.4387754315000008</v>
      </c>
      <c r="CX7" s="4">
        <v>3.6475273824999999</v>
      </c>
      <c r="CY7" s="4">
        <v>1.313342996</v>
      </c>
      <c r="CZ7" s="4">
        <v>1.5240950500000001</v>
      </c>
      <c r="DA7" s="4">
        <v>32.633336845000002</v>
      </c>
      <c r="DB7" s="4">
        <v>8.3088660700000005</v>
      </c>
      <c r="DC7" s="4">
        <v>7.0446484950000032</v>
      </c>
      <c r="DD7" s="4">
        <v>2.0800035950000004</v>
      </c>
      <c r="DE7" s="4">
        <v>4.6648364999999998</v>
      </c>
      <c r="DF7" s="4">
        <v>3.4827259349999968</v>
      </c>
      <c r="DG7" s="4">
        <v>1.9430814299999994</v>
      </c>
      <c r="DH7" s="4">
        <v>11.587760300000001</v>
      </c>
      <c r="DI7" s="4">
        <v>2.5275835799999999</v>
      </c>
      <c r="DJ7" s="4">
        <v>0</v>
      </c>
      <c r="DK7" s="4">
        <v>0</v>
      </c>
      <c r="DL7" s="4">
        <v>0</v>
      </c>
      <c r="DM7" s="4">
        <v>37.849253484000002</v>
      </c>
      <c r="DN7" s="4">
        <v>6.7790240500000003</v>
      </c>
      <c r="DO7" s="4">
        <v>3.9921103450000008</v>
      </c>
      <c r="DP7" s="4">
        <v>13.907358014000001</v>
      </c>
      <c r="DQ7" s="4">
        <v>39.100860381500006</v>
      </c>
      <c r="DR7" s="4">
        <v>27.958672653150355</v>
      </c>
      <c r="DS7" s="4">
        <v>174.71996639360526</v>
      </c>
      <c r="DT7" s="4">
        <v>51.229222229647931</v>
      </c>
      <c r="DU7" s="4">
        <v>15.312587759664037</v>
      </c>
      <c r="DV7" s="4">
        <v>11.812422479889769</v>
      </c>
      <c r="DW7" s="4">
        <v>0</v>
      </c>
      <c r="DX7" s="4">
        <v>0</v>
      </c>
      <c r="DY7" s="4">
        <v>0</v>
      </c>
      <c r="DZ7" s="4">
        <v>0</v>
      </c>
      <c r="EA7" s="4">
        <v>0</v>
      </c>
      <c r="EB7" s="4">
        <v>0</v>
      </c>
      <c r="EC7" s="4">
        <v>0</v>
      </c>
      <c r="ED7" s="4">
        <v>0</v>
      </c>
      <c r="EE7" s="4">
        <v>13.035617078255356</v>
      </c>
      <c r="EF7" s="4">
        <v>17.048446807862856</v>
      </c>
      <c r="EG7" s="4">
        <v>298.29473779096031</v>
      </c>
      <c r="EH7" s="4">
        <v>2515.1319565876938</v>
      </c>
      <c r="EI7" s="4">
        <v>0</v>
      </c>
      <c r="EJ7" s="4">
        <v>0</v>
      </c>
      <c r="EK7" s="4">
        <v>0</v>
      </c>
      <c r="EL7" s="4">
        <v>0</v>
      </c>
      <c r="EM7" s="4">
        <v>0</v>
      </c>
      <c r="EN7" s="4">
        <v>0</v>
      </c>
      <c r="EO7" s="4">
        <v>162.57693021570816</v>
      </c>
      <c r="EP7" s="4">
        <v>0</v>
      </c>
      <c r="EQ7" s="4">
        <v>0</v>
      </c>
      <c r="ER7" s="4">
        <v>313.15167184080366</v>
      </c>
      <c r="ES7" s="4">
        <v>0</v>
      </c>
      <c r="ET7" s="4">
        <v>37.461143240353195</v>
      </c>
      <c r="EU7" s="4">
        <v>311.79972122101896</v>
      </c>
      <c r="EV7" s="4">
        <v>63.896298857656674</v>
      </c>
      <c r="EW7" s="4">
        <v>59.326055263970503</v>
      </c>
    </row>
    <row r="8" spans="2:153" x14ac:dyDescent="0.35">
      <c r="B8" s="11">
        <v>3</v>
      </c>
      <c r="C8" s="11">
        <v>1</v>
      </c>
      <c r="D8" s="12" t="s">
        <v>172</v>
      </c>
      <c r="E8" s="3" t="s">
        <v>173</v>
      </c>
      <c r="F8" s="6">
        <v>176935.40917685235</v>
      </c>
      <c r="G8" s="4">
        <v>0.87219470495332663</v>
      </c>
      <c r="H8" s="4">
        <v>2010.368511797963</v>
      </c>
      <c r="I8" s="4">
        <v>7647.2865863094476</v>
      </c>
      <c r="J8" s="4">
        <v>1262.0902019470043</v>
      </c>
      <c r="K8" s="4">
        <v>15.433206148118559</v>
      </c>
      <c r="L8" s="4">
        <v>2209.6274252350249</v>
      </c>
      <c r="M8" s="4">
        <v>29.53887674303899</v>
      </c>
      <c r="N8" s="4">
        <v>859.01724900947613</v>
      </c>
      <c r="O8" s="4">
        <v>-29.180723067298818</v>
      </c>
      <c r="P8" s="4">
        <v>139.30915489148509</v>
      </c>
      <c r="Q8" s="4">
        <v>8316.4092612112709</v>
      </c>
      <c r="R8" s="4">
        <v>0</v>
      </c>
      <c r="S8" s="4">
        <v>11663.825353233302</v>
      </c>
      <c r="T8" s="4">
        <v>1036.6032793325569</v>
      </c>
      <c r="U8" s="4">
        <v>1233.7951380767706</v>
      </c>
      <c r="V8" s="4">
        <v>0.16646869131073744</v>
      </c>
      <c r="W8" s="4">
        <v>26.97306599532909</v>
      </c>
      <c r="X8" s="4">
        <v>-18.189059524714907</v>
      </c>
      <c r="Y8" s="4">
        <v>2863.2553221692278</v>
      </c>
      <c r="Z8" s="4">
        <v>426.03582236265152</v>
      </c>
      <c r="AA8" s="4">
        <v>908.91211953541699</v>
      </c>
      <c r="AB8" s="4">
        <v>1.8756326225961768</v>
      </c>
      <c r="AC8" s="4">
        <v>745.37166583687588</v>
      </c>
      <c r="AD8" s="4">
        <v>465.77632535747824</v>
      </c>
      <c r="AE8" s="4">
        <v>263.12711719868889</v>
      </c>
      <c r="AF8" s="4">
        <v>4385.5630131940052</v>
      </c>
      <c r="AG8" s="4">
        <v>2160.1080737988837</v>
      </c>
      <c r="AH8" s="4">
        <v>7.521304132115695</v>
      </c>
      <c r="AI8" s="4">
        <v>5122.6784338914204</v>
      </c>
      <c r="AJ8" s="4">
        <v>5653.9813969821871</v>
      </c>
      <c r="AK8" s="4">
        <v>1211.1991752907002</v>
      </c>
      <c r="AL8" s="4">
        <v>69.08375446618362</v>
      </c>
      <c r="AM8" s="4">
        <v>1.7456556782309678</v>
      </c>
      <c r="AN8" s="4">
        <v>7.3613003699866839</v>
      </c>
      <c r="AO8" s="4">
        <v>109.9774516059264</v>
      </c>
      <c r="AP8" s="4">
        <v>186.09602179745241</v>
      </c>
      <c r="AQ8" s="4">
        <v>385.76592669348037</v>
      </c>
      <c r="AR8" s="4">
        <v>1027.5266132588879</v>
      </c>
      <c r="AS8" s="4">
        <v>85.289998393817399</v>
      </c>
      <c r="AT8" s="4">
        <v>4332.8270811099901</v>
      </c>
      <c r="AU8" s="4">
        <v>89.184021437872886</v>
      </c>
      <c r="AV8" s="4">
        <v>2567.1050573727821</v>
      </c>
      <c r="AW8" s="4">
        <v>197.28823901046849</v>
      </c>
      <c r="AX8" s="4">
        <v>548.28511474257436</v>
      </c>
      <c r="AY8" s="4">
        <v>1764.6960826459313</v>
      </c>
      <c r="AZ8" s="4">
        <v>-97.108868119643404</v>
      </c>
      <c r="BA8" s="4">
        <v>2.9498421558176173</v>
      </c>
      <c r="BB8" s="4">
        <v>1719.6160165074748</v>
      </c>
      <c r="BC8" s="4">
        <v>0.7118337427084569</v>
      </c>
      <c r="BD8" s="4">
        <v>3349.1333549160854</v>
      </c>
      <c r="BE8" s="4">
        <v>-36.361796709876074</v>
      </c>
      <c r="BF8" s="4">
        <v>19.307441480840932</v>
      </c>
      <c r="BG8" s="4">
        <v>131.72537222791087</v>
      </c>
      <c r="BH8" s="4">
        <v>5793.1110742916753</v>
      </c>
      <c r="BI8" s="4">
        <v>6.2520590241862841</v>
      </c>
      <c r="BJ8" s="4">
        <v>5.5354051131902349</v>
      </c>
      <c r="BK8" s="4">
        <v>0.9873848840598175</v>
      </c>
      <c r="BL8" s="4">
        <v>6.1653801201565628</v>
      </c>
      <c r="BM8" s="4">
        <v>11.026681861786063</v>
      </c>
      <c r="BN8" s="4">
        <v>1182.8718559542035</v>
      </c>
      <c r="BO8" s="4">
        <v>0</v>
      </c>
      <c r="BP8" s="4">
        <v>0</v>
      </c>
      <c r="BQ8" s="4">
        <v>1012.363124881907</v>
      </c>
      <c r="BR8" s="4">
        <v>2285.934046358122</v>
      </c>
      <c r="BS8" s="4">
        <v>905.15700970454225</v>
      </c>
      <c r="BT8" s="4">
        <v>1311.5468238873329</v>
      </c>
      <c r="BU8" s="4">
        <v>-352.30998851628664</v>
      </c>
      <c r="BV8" s="4">
        <v>0.14167143072294186</v>
      </c>
      <c r="BW8" s="4">
        <v>-206.98527240024092</v>
      </c>
      <c r="BX8" s="4">
        <v>1.040774668862807</v>
      </c>
      <c r="BY8" s="4">
        <v>0</v>
      </c>
      <c r="BZ8" s="4">
        <v>-161.08844772371165</v>
      </c>
      <c r="CA8" s="4">
        <v>13.219822852825409</v>
      </c>
      <c r="CB8" s="4">
        <v>-16.902340026377647</v>
      </c>
      <c r="CC8" s="4">
        <v>3.1256797945696237</v>
      </c>
      <c r="CD8" s="4">
        <v>3.2925178074929358</v>
      </c>
      <c r="CE8" s="4">
        <v>874.16527527186986</v>
      </c>
      <c r="CF8" s="4">
        <v>-5.8718257850795763E-2</v>
      </c>
      <c r="CG8" s="4">
        <v>0</v>
      </c>
      <c r="CH8" s="4">
        <v>0</v>
      </c>
      <c r="CI8" s="4">
        <v>327.9224018300331</v>
      </c>
      <c r="CJ8" s="4">
        <v>407.79390388027008</v>
      </c>
      <c r="CK8" s="4">
        <v>1227.5609623001776</v>
      </c>
      <c r="CL8" s="4">
        <v>321.5519574800652</v>
      </c>
      <c r="CM8" s="4">
        <v>344.19156920482601</v>
      </c>
      <c r="CN8" s="4">
        <v>196.63274186894824</v>
      </c>
      <c r="CO8" s="4">
        <v>15.344749969914632</v>
      </c>
      <c r="CP8" s="4">
        <v>0</v>
      </c>
      <c r="CQ8" s="4">
        <v>699.80878834667533</v>
      </c>
      <c r="CR8" s="4">
        <v>422.45110712600808</v>
      </c>
      <c r="CS8" s="4">
        <v>475.44476255556458</v>
      </c>
      <c r="CT8" s="4">
        <v>1235.1104302197939</v>
      </c>
      <c r="CU8" s="4">
        <v>-36.016818617479309</v>
      </c>
      <c r="CV8" s="4">
        <v>237.30294129947868</v>
      </c>
      <c r="CW8" s="4">
        <v>379.73902305450054</v>
      </c>
      <c r="CX8" s="4">
        <v>214.13675794698884</v>
      </c>
      <c r="CY8" s="4">
        <v>343.96221885647645</v>
      </c>
      <c r="CZ8" s="4">
        <v>31.53050177465839</v>
      </c>
      <c r="DA8" s="4">
        <v>1830.1141544558675</v>
      </c>
      <c r="DB8" s="4">
        <v>138.34435985536615</v>
      </c>
      <c r="DC8" s="4">
        <v>174.53011733528422</v>
      </c>
      <c r="DD8" s="4">
        <v>95.047557913004752</v>
      </c>
      <c r="DE8" s="4">
        <v>214.20053479344924</v>
      </c>
      <c r="DF8" s="4">
        <v>130.01545497304059</v>
      </c>
      <c r="DG8" s="4">
        <v>83.899870643929461</v>
      </c>
      <c r="DH8" s="4">
        <v>369.09779765544062</v>
      </c>
      <c r="DI8" s="4">
        <v>224.69234299646851</v>
      </c>
      <c r="DJ8" s="4">
        <v>0.33025396879389668</v>
      </c>
      <c r="DK8" s="4">
        <v>1.5730449710379331</v>
      </c>
      <c r="DL8" s="4">
        <v>0</v>
      </c>
      <c r="DM8" s="4">
        <v>621.34634487565279</v>
      </c>
      <c r="DN8" s="4">
        <v>106.48321992215797</v>
      </c>
      <c r="DO8" s="4">
        <v>63.124835626044074</v>
      </c>
      <c r="DP8" s="4">
        <v>435.97490529337097</v>
      </c>
      <c r="DQ8" s="4">
        <v>187.39171351776463</v>
      </c>
      <c r="DR8" s="4">
        <v>609.62815836439563</v>
      </c>
      <c r="DS8" s="4">
        <v>1440.3882747101641</v>
      </c>
      <c r="DT8" s="4">
        <v>491.94533337833923</v>
      </c>
      <c r="DU8" s="4">
        <v>1817.2731473268805</v>
      </c>
      <c r="DV8" s="4">
        <v>1094.8987361165177</v>
      </c>
      <c r="DW8" s="4">
        <v>19.223449457574873</v>
      </c>
      <c r="DX8" s="4">
        <v>6.8161928121972659</v>
      </c>
      <c r="DY8" s="4">
        <v>27.943823864904637</v>
      </c>
      <c r="DZ8" s="4">
        <v>5.7423369311439378</v>
      </c>
      <c r="EA8" s="4">
        <v>15.348146011225522</v>
      </c>
      <c r="EB8" s="4">
        <v>59.571898381908703</v>
      </c>
      <c r="EC8" s="4">
        <v>11.074175603378542</v>
      </c>
      <c r="ED8" s="4">
        <v>3.0586100717873044</v>
      </c>
      <c r="EE8" s="4">
        <v>945.59798269747898</v>
      </c>
      <c r="EF8" s="4">
        <v>1785.7580628440717</v>
      </c>
      <c r="EG8" s="4">
        <v>5097.553312506021</v>
      </c>
      <c r="EH8" s="4">
        <v>15102.957071137625</v>
      </c>
      <c r="EI8" s="4">
        <v>426.63942205919113</v>
      </c>
      <c r="EJ8" s="4">
        <v>423.7110415191807</v>
      </c>
      <c r="EK8" s="4">
        <v>51.384638992397889</v>
      </c>
      <c r="EL8" s="4">
        <v>-78.231483065733315</v>
      </c>
      <c r="EM8" s="4">
        <v>26.846844073335429</v>
      </c>
      <c r="EN8" s="4">
        <v>0</v>
      </c>
      <c r="EO8" s="4">
        <v>18717.240908210908</v>
      </c>
      <c r="EP8" s="4">
        <v>184.04520305114454</v>
      </c>
      <c r="EQ8" s="4">
        <v>137.561750901209</v>
      </c>
      <c r="ER8" s="4">
        <v>11780.201913678193</v>
      </c>
      <c r="ES8" s="4">
        <v>3.7366397658215811E-2</v>
      </c>
      <c r="ET8" s="4">
        <v>1068.6979051226094</v>
      </c>
      <c r="EU8" s="4">
        <v>12762.096688972269</v>
      </c>
      <c r="EV8" s="4">
        <v>259.42519231214681</v>
      </c>
      <c r="EW8" s="4">
        <v>1360.1896356433556</v>
      </c>
    </row>
    <row r="9" spans="2:153" x14ac:dyDescent="0.35">
      <c r="B9" s="11">
        <v>3</v>
      </c>
      <c r="C9" s="11">
        <v>2</v>
      </c>
      <c r="D9" s="12" t="s">
        <v>172</v>
      </c>
      <c r="E9" s="3" t="s">
        <v>174</v>
      </c>
      <c r="F9" s="6">
        <v>6973.2078257782478</v>
      </c>
      <c r="G9" s="4">
        <v>0</v>
      </c>
      <c r="H9" s="4">
        <v>0</v>
      </c>
      <c r="I9" s="4">
        <v>348.20844815431116</v>
      </c>
      <c r="J9" s="4">
        <v>34.712150079410769</v>
      </c>
      <c r="K9" s="4">
        <v>0</v>
      </c>
      <c r="L9" s="4">
        <v>93.780348155493584</v>
      </c>
      <c r="M9" s="4">
        <v>-10.655505660199124</v>
      </c>
      <c r="N9" s="4">
        <v>3.1111981748795889</v>
      </c>
      <c r="O9" s="4">
        <v>0</v>
      </c>
      <c r="P9" s="4">
        <v>4.6198863576581592</v>
      </c>
      <c r="Q9" s="4">
        <v>164.84877729598438</v>
      </c>
      <c r="R9" s="4">
        <v>0</v>
      </c>
      <c r="S9" s="4">
        <v>2513.8795266399147</v>
      </c>
      <c r="T9" s="4">
        <v>3.0406871221688614</v>
      </c>
      <c r="U9" s="4">
        <v>0.9893167604033436</v>
      </c>
      <c r="V9" s="4">
        <v>0</v>
      </c>
      <c r="W9" s="4">
        <v>0</v>
      </c>
      <c r="X9" s="4">
        <v>0</v>
      </c>
      <c r="Y9" s="4">
        <v>34.156702700551463</v>
      </c>
      <c r="Z9" s="4">
        <v>3.757634259879441</v>
      </c>
      <c r="AA9" s="4">
        <v>132.03883063298375</v>
      </c>
      <c r="AB9" s="4">
        <v>0</v>
      </c>
      <c r="AC9" s="4">
        <v>3.1755286126140341</v>
      </c>
      <c r="AD9" s="4">
        <v>11.155968257567068</v>
      </c>
      <c r="AE9" s="4">
        <v>0</v>
      </c>
      <c r="AF9" s="4">
        <v>41.860002176242467</v>
      </c>
      <c r="AG9" s="4">
        <v>3.3563668915127343</v>
      </c>
      <c r="AH9" s="4">
        <v>0</v>
      </c>
      <c r="AI9" s="4">
        <v>56.567214564199816</v>
      </c>
      <c r="AJ9" s="4">
        <v>46.870156959618406</v>
      </c>
      <c r="AK9" s="4">
        <v>2.2906976219235355</v>
      </c>
      <c r="AL9" s="4">
        <v>0</v>
      </c>
      <c r="AM9" s="4">
        <v>0</v>
      </c>
      <c r="AN9" s="4">
        <v>0</v>
      </c>
      <c r="AO9" s="4">
        <v>0</v>
      </c>
      <c r="AP9" s="4">
        <v>5.0600964662890577</v>
      </c>
      <c r="AQ9" s="4">
        <v>0</v>
      </c>
      <c r="AR9" s="4">
        <v>32.169846285123064</v>
      </c>
      <c r="AS9" s="4">
        <v>0</v>
      </c>
      <c r="AT9" s="4">
        <v>314.79993857014261</v>
      </c>
      <c r="AU9" s="4">
        <v>0</v>
      </c>
      <c r="AV9" s="4">
        <v>60.9127703878506</v>
      </c>
      <c r="AW9" s="4">
        <v>0</v>
      </c>
      <c r="AX9" s="4">
        <v>0</v>
      </c>
      <c r="AY9" s="4">
        <v>72.89665337667148</v>
      </c>
      <c r="AZ9" s="4">
        <v>0</v>
      </c>
      <c r="BA9" s="4">
        <v>0.86844155274297319</v>
      </c>
      <c r="BB9" s="4">
        <v>38.851851146084407</v>
      </c>
      <c r="BC9" s="4">
        <v>0</v>
      </c>
      <c r="BD9" s="4">
        <v>36.434440814981208</v>
      </c>
      <c r="BE9" s="4">
        <v>0</v>
      </c>
      <c r="BF9" s="4">
        <v>0</v>
      </c>
      <c r="BG9" s="4">
        <v>0</v>
      </c>
      <c r="BH9" s="4">
        <v>24.513468705116772</v>
      </c>
      <c r="BI9" s="4">
        <v>0</v>
      </c>
      <c r="BJ9" s="4">
        <v>0</v>
      </c>
      <c r="BK9" s="4">
        <v>0</v>
      </c>
      <c r="BL9" s="4">
        <v>0</v>
      </c>
      <c r="BM9" s="4">
        <v>0</v>
      </c>
      <c r="BN9" s="4">
        <v>0</v>
      </c>
      <c r="BO9" s="4">
        <v>0</v>
      </c>
      <c r="BP9" s="4">
        <v>0</v>
      </c>
      <c r="BQ9" s="4">
        <v>0</v>
      </c>
      <c r="BR9" s="4">
        <v>1045.4001438383316</v>
      </c>
      <c r="BS9" s="4">
        <v>0</v>
      </c>
      <c r="BT9" s="4">
        <v>28.866299097814004</v>
      </c>
      <c r="BU9" s="4">
        <v>0</v>
      </c>
      <c r="BV9" s="4">
        <v>0</v>
      </c>
      <c r="BW9" s="4">
        <v>0</v>
      </c>
      <c r="BX9" s="4">
        <v>0</v>
      </c>
      <c r="BY9" s="4">
        <v>0</v>
      </c>
      <c r="BZ9" s="4">
        <v>0</v>
      </c>
      <c r="CA9" s="4">
        <v>0</v>
      </c>
      <c r="CB9" s="4">
        <v>0</v>
      </c>
      <c r="CC9" s="4">
        <v>0</v>
      </c>
      <c r="CD9" s="4">
        <v>0</v>
      </c>
      <c r="CE9" s="4">
        <v>0</v>
      </c>
      <c r="CF9" s="4">
        <v>0</v>
      </c>
      <c r="CG9" s="4">
        <v>0</v>
      </c>
      <c r="CH9" s="4">
        <v>0</v>
      </c>
      <c r="CI9" s="4">
        <v>21.975727115273081</v>
      </c>
      <c r="CJ9" s="4">
        <v>19.192586564240198</v>
      </c>
      <c r="CK9" s="4">
        <v>74.756951130423289</v>
      </c>
      <c r="CL9" s="4">
        <v>18.912968888307027</v>
      </c>
      <c r="CM9" s="4">
        <v>6.9732392779018557</v>
      </c>
      <c r="CN9" s="4">
        <v>10.912111256039529</v>
      </c>
      <c r="CO9" s="4">
        <v>-10.803325245495706</v>
      </c>
      <c r="CP9" s="4">
        <v>0</v>
      </c>
      <c r="CQ9" s="4">
        <v>0.52626622429525116</v>
      </c>
      <c r="CR9" s="4">
        <v>7.3713153232897275</v>
      </c>
      <c r="CS9" s="4">
        <v>2.9622341712794209</v>
      </c>
      <c r="CT9" s="4">
        <v>99.629711093905499</v>
      </c>
      <c r="CU9" s="4">
        <v>0</v>
      </c>
      <c r="CV9" s="4">
        <v>14.322131127413662</v>
      </c>
      <c r="CW9" s="4">
        <v>9.3869462825473065</v>
      </c>
      <c r="CX9" s="4">
        <v>14.787441482207914</v>
      </c>
      <c r="CY9" s="4">
        <v>0</v>
      </c>
      <c r="CZ9" s="4">
        <v>0</v>
      </c>
      <c r="DA9" s="4">
        <v>80.846965784066185</v>
      </c>
      <c r="DB9" s="4">
        <v>2.0807742192667544</v>
      </c>
      <c r="DC9" s="4">
        <v>0</v>
      </c>
      <c r="DD9" s="4">
        <v>0</v>
      </c>
      <c r="DE9" s="4">
        <v>0</v>
      </c>
      <c r="DF9" s="4">
        <v>0</v>
      </c>
      <c r="DG9" s="4">
        <v>0</v>
      </c>
      <c r="DH9" s="4">
        <v>64.669515638396888</v>
      </c>
      <c r="DI9" s="4">
        <v>63.06663393045568</v>
      </c>
      <c r="DJ9" s="4">
        <v>0</v>
      </c>
      <c r="DK9" s="4">
        <v>0</v>
      </c>
      <c r="DL9" s="4">
        <v>0</v>
      </c>
      <c r="DM9" s="4">
        <v>0</v>
      </c>
      <c r="DN9" s="4">
        <v>0</v>
      </c>
      <c r="DO9" s="4">
        <v>0</v>
      </c>
      <c r="DP9" s="4">
        <v>0</v>
      </c>
      <c r="DQ9" s="4">
        <v>72.225444224580016</v>
      </c>
      <c r="DR9" s="4">
        <v>0</v>
      </c>
      <c r="DS9" s="4">
        <v>132.94017079262275</v>
      </c>
      <c r="DT9" s="4">
        <v>15.797960519683375</v>
      </c>
      <c r="DU9" s="4">
        <v>44.846275951360838</v>
      </c>
      <c r="DV9" s="4">
        <v>0</v>
      </c>
      <c r="DW9" s="4">
        <v>0</v>
      </c>
      <c r="DX9" s="4">
        <v>0</v>
      </c>
      <c r="DY9" s="4">
        <v>0</v>
      </c>
      <c r="DZ9" s="4">
        <v>0</v>
      </c>
      <c r="EA9" s="4">
        <v>0</v>
      </c>
      <c r="EB9" s="4">
        <v>0</v>
      </c>
      <c r="EC9" s="4">
        <v>0</v>
      </c>
      <c r="ED9" s="4">
        <v>0</v>
      </c>
      <c r="EE9" s="4">
        <v>5.8449131349180945</v>
      </c>
      <c r="EF9" s="4">
        <v>46.045781404485602</v>
      </c>
      <c r="EG9" s="4">
        <v>0</v>
      </c>
      <c r="EH9" s="4">
        <v>638.64135611395909</v>
      </c>
      <c r="EI9" s="4">
        <v>0</v>
      </c>
      <c r="EJ9" s="4">
        <v>0</v>
      </c>
      <c r="EK9" s="4">
        <v>0</v>
      </c>
      <c r="EL9" s="4">
        <v>0</v>
      </c>
      <c r="EM9" s="4">
        <v>0</v>
      </c>
      <c r="EN9" s="4">
        <v>0</v>
      </c>
      <c r="EO9" s="4">
        <v>34.878088423920047</v>
      </c>
      <c r="EP9" s="4">
        <v>0</v>
      </c>
      <c r="EQ9" s="4">
        <v>0</v>
      </c>
      <c r="ER9" s="4">
        <v>193.02897714783941</v>
      </c>
      <c r="ES9" s="4">
        <v>0</v>
      </c>
      <c r="ET9" s="4">
        <v>10.592690477782121</v>
      </c>
      <c r="EU9" s="4">
        <v>124.25808732501864</v>
      </c>
      <c r="EV9" s="4">
        <v>0</v>
      </c>
      <c r="EW9" s="4">
        <v>0</v>
      </c>
    </row>
    <row r="10" spans="2:153" ht="29" x14ac:dyDescent="0.35">
      <c r="B10" s="11">
        <v>3</v>
      </c>
      <c r="C10" s="11">
        <v>3</v>
      </c>
      <c r="D10" s="12" t="s">
        <v>172</v>
      </c>
      <c r="E10" s="3" t="s">
        <v>175</v>
      </c>
      <c r="F10" s="6">
        <v>2303.621962032144</v>
      </c>
      <c r="G10" s="4">
        <v>0</v>
      </c>
      <c r="H10" s="4">
        <v>0</v>
      </c>
      <c r="I10" s="4">
        <v>40.415306463571952</v>
      </c>
      <c r="J10" s="4">
        <v>17.514952538361342</v>
      </c>
      <c r="K10" s="4">
        <v>0</v>
      </c>
      <c r="L10" s="4">
        <v>111.09041114038521</v>
      </c>
      <c r="M10" s="4">
        <v>2.0614102627091118</v>
      </c>
      <c r="N10" s="4">
        <v>10.850960741430365</v>
      </c>
      <c r="O10" s="4">
        <v>0</v>
      </c>
      <c r="P10" s="4">
        <v>0</v>
      </c>
      <c r="Q10" s="4">
        <v>16.131968139627972</v>
      </c>
      <c r="R10" s="4">
        <v>14.116354567573655</v>
      </c>
      <c r="S10" s="4">
        <v>16.358226980878996</v>
      </c>
      <c r="T10" s="4">
        <v>3.4414830928992046</v>
      </c>
      <c r="U10" s="4">
        <v>4.2464453402704265</v>
      </c>
      <c r="V10" s="4">
        <v>0</v>
      </c>
      <c r="W10" s="4">
        <v>0</v>
      </c>
      <c r="X10" s="4">
        <v>0</v>
      </c>
      <c r="Y10" s="4">
        <v>26.476384282602073</v>
      </c>
      <c r="Z10" s="4">
        <v>1.4885630841690998</v>
      </c>
      <c r="AA10" s="4">
        <v>27.975270914323609</v>
      </c>
      <c r="AB10" s="4">
        <v>0</v>
      </c>
      <c r="AC10" s="4">
        <v>13.235116195616373</v>
      </c>
      <c r="AD10" s="4">
        <v>7.7821898222925698</v>
      </c>
      <c r="AE10" s="4">
        <v>0</v>
      </c>
      <c r="AF10" s="4">
        <v>26.270695527214897</v>
      </c>
      <c r="AG10" s="4">
        <v>8.0468178990494454</v>
      </c>
      <c r="AH10" s="4">
        <v>0</v>
      </c>
      <c r="AI10" s="4">
        <v>37.476627812969525</v>
      </c>
      <c r="AJ10" s="4">
        <v>97.244415594399953</v>
      </c>
      <c r="AK10" s="4">
        <v>4.7552267600077842</v>
      </c>
      <c r="AL10" s="4">
        <v>0</v>
      </c>
      <c r="AM10" s="4">
        <v>0</v>
      </c>
      <c r="AN10" s="4">
        <v>0</v>
      </c>
      <c r="AO10" s="4">
        <v>2.584898774394282</v>
      </c>
      <c r="AP10" s="4">
        <v>1.2712269835532806</v>
      </c>
      <c r="AQ10" s="4">
        <v>0</v>
      </c>
      <c r="AR10" s="4">
        <v>3.0908973759720224</v>
      </c>
      <c r="AS10" s="4">
        <v>5.077762110961016E-3</v>
      </c>
      <c r="AT10" s="4">
        <v>126.9028856794851</v>
      </c>
      <c r="AU10" s="4">
        <v>1.0800854052641959</v>
      </c>
      <c r="AV10" s="4">
        <v>8.0489320397774744</v>
      </c>
      <c r="AW10" s="4">
        <v>0.17874703367309289</v>
      </c>
      <c r="AX10" s="4">
        <v>3.3880062266801136</v>
      </c>
      <c r="AY10" s="4">
        <v>24.535875088432849</v>
      </c>
      <c r="AZ10" s="4">
        <v>0</v>
      </c>
      <c r="BA10" s="4">
        <v>0.88421055775719704</v>
      </c>
      <c r="BB10" s="4">
        <v>9.6359794210794529</v>
      </c>
      <c r="BC10" s="4">
        <v>0</v>
      </c>
      <c r="BD10" s="4">
        <v>17.223866689985933</v>
      </c>
      <c r="BE10" s="4">
        <v>0</v>
      </c>
      <c r="BF10" s="4">
        <v>0</v>
      </c>
      <c r="BG10" s="4">
        <v>0</v>
      </c>
      <c r="BH10" s="4">
        <v>38.0068298863686</v>
      </c>
      <c r="BI10" s="4">
        <v>0</v>
      </c>
      <c r="BJ10" s="4">
        <v>0</v>
      </c>
      <c r="BK10" s="4">
        <v>0</v>
      </c>
      <c r="BL10" s="4">
        <v>0</v>
      </c>
      <c r="BM10" s="4">
        <v>0</v>
      </c>
      <c r="BN10" s="4">
        <v>0</v>
      </c>
      <c r="BO10" s="4">
        <v>0</v>
      </c>
      <c r="BP10" s="4">
        <v>0</v>
      </c>
      <c r="BQ10" s="4">
        <v>34.37226351970962</v>
      </c>
      <c r="BR10" s="4">
        <v>7.6136357791071338</v>
      </c>
      <c r="BS10" s="4">
        <v>8.4246453850662899</v>
      </c>
      <c r="BT10" s="4">
        <v>5.3588626823546406</v>
      </c>
      <c r="BU10" s="4">
        <v>0</v>
      </c>
      <c r="BV10" s="4">
        <v>0</v>
      </c>
      <c r="BW10" s="4">
        <v>0</v>
      </c>
      <c r="BX10" s="4">
        <v>0</v>
      </c>
      <c r="BY10" s="4">
        <v>0</v>
      </c>
      <c r="BZ10" s="4">
        <v>0</v>
      </c>
      <c r="CA10" s="4">
        <v>0</v>
      </c>
      <c r="CB10" s="4">
        <v>0</v>
      </c>
      <c r="CC10" s="4">
        <v>0</v>
      </c>
      <c r="CD10" s="4">
        <v>0</v>
      </c>
      <c r="CE10" s="4">
        <v>13.067979382869323</v>
      </c>
      <c r="CF10" s="4">
        <v>2.2326305400000002</v>
      </c>
      <c r="CG10" s="4">
        <v>0.20529936000000001</v>
      </c>
      <c r="CH10" s="4">
        <v>0.80103411000000002</v>
      </c>
      <c r="CI10" s="4">
        <v>31.300350572564621</v>
      </c>
      <c r="CJ10" s="4">
        <v>17.604050230180441</v>
      </c>
      <c r="CK10" s="4">
        <v>35.369909749977865</v>
      </c>
      <c r="CL10" s="4">
        <v>2.3657465512656008</v>
      </c>
      <c r="CM10" s="4">
        <v>15.03799781471055</v>
      </c>
      <c r="CN10" s="4">
        <v>6.3610408134417238</v>
      </c>
      <c r="CO10" s="4">
        <v>0.4163019665023458</v>
      </c>
      <c r="CP10" s="4">
        <v>0</v>
      </c>
      <c r="CQ10" s="4">
        <v>4.718934708857959</v>
      </c>
      <c r="CR10" s="4">
        <v>7.2755845737547773</v>
      </c>
      <c r="CS10" s="4">
        <v>18.667308886345172</v>
      </c>
      <c r="CT10" s="4">
        <v>26.592738245209539</v>
      </c>
      <c r="CU10" s="4">
        <v>8.3137784392719656</v>
      </c>
      <c r="CV10" s="4">
        <v>4.8875760839630455</v>
      </c>
      <c r="CW10" s="4">
        <v>1.29421863617292</v>
      </c>
      <c r="CX10" s="4">
        <v>2.4150690927674505</v>
      </c>
      <c r="CY10" s="4">
        <v>5.0043299544736426</v>
      </c>
      <c r="CZ10" s="4">
        <v>1.1104532153406352</v>
      </c>
      <c r="DA10" s="4">
        <v>82.749266922397226</v>
      </c>
      <c r="DB10" s="4">
        <v>5.9525213511684525</v>
      </c>
      <c r="DC10" s="4">
        <v>2.8262432252313872</v>
      </c>
      <c r="DD10" s="4">
        <v>2.8342866245483607</v>
      </c>
      <c r="DE10" s="4">
        <v>5.7702310423461922</v>
      </c>
      <c r="DF10" s="4">
        <v>1.4863241843880193</v>
      </c>
      <c r="DG10" s="4">
        <v>2.3001523871655651</v>
      </c>
      <c r="DH10" s="4">
        <v>5.1999260871367996</v>
      </c>
      <c r="DI10" s="4">
        <v>4.2506557416712871</v>
      </c>
      <c r="DJ10" s="4">
        <v>0</v>
      </c>
      <c r="DK10" s="4">
        <v>0</v>
      </c>
      <c r="DL10" s="4">
        <v>0</v>
      </c>
      <c r="DM10" s="4">
        <v>16.546572608662835</v>
      </c>
      <c r="DN10" s="4">
        <v>2.5970116447423357</v>
      </c>
      <c r="DO10" s="4">
        <v>3.1458829466204521</v>
      </c>
      <c r="DP10" s="4">
        <v>7.0339858998237119</v>
      </c>
      <c r="DQ10" s="4">
        <v>15.27742821018829</v>
      </c>
      <c r="DR10" s="4">
        <v>12.928057223445606</v>
      </c>
      <c r="DS10" s="4">
        <v>52.099036627997044</v>
      </c>
      <c r="DT10" s="4">
        <v>17.368084534857964</v>
      </c>
      <c r="DU10" s="4">
        <v>6.0450314129278109</v>
      </c>
      <c r="DV10" s="4">
        <v>5.2493411684360458</v>
      </c>
      <c r="DW10" s="4">
        <v>0</v>
      </c>
      <c r="DX10" s="4">
        <v>0</v>
      </c>
      <c r="DY10" s="4">
        <v>0</v>
      </c>
      <c r="DZ10" s="4">
        <v>0</v>
      </c>
      <c r="EA10" s="4">
        <v>0</v>
      </c>
      <c r="EB10" s="4">
        <v>0</v>
      </c>
      <c r="EC10" s="4">
        <v>0</v>
      </c>
      <c r="ED10" s="4">
        <v>0</v>
      </c>
      <c r="EE10" s="4">
        <v>4.2177421563185424</v>
      </c>
      <c r="EF10" s="4">
        <v>5.6239786982628264</v>
      </c>
      <c r="EG10" s="4">
        <v>66.428069699290035</v>
      </c>
      <c r="EH10" s="4">
        <v>667.61581375561593</v>
      </c>
      <c r="EI10" s="4">
        <v>0</v>
      </c>
      <c r="EJ10" s="4">
        <v>0</v>
      </c>
      <c r="EK10" s="4">
        <v>0</v>
      </c>
      <c r="EL10" s="4">
        <v>0</v>
      </c>
      <c r="EM10" s="4">
        <v>0</v>
      </c>
      <c r="EN10" s="4">
        <v>0</v>
      </c>
      <c r="EO10" s="4">
        <v>49.925632553689255</v>
      </c>
      <c r="EP10" s="4">
        <v>0</v>
      </c>
      <c r="EQ10" s="4">
        <v>0</v>
      </c>
      <c r="ER10" s="4">
        <v>87.293074675954074</v>
      </c>
      <c r="ES10" s="4">
        <v>0</v>
      </c>
      <c r="ET10" s="4">
        <v>21.623430126225312</v>
      </c>
      <c r="EU10" s="4">
        <v>112.89388740621868</v>
      </c>
      <c r="EV10" s="4">
        <v>12.104171328943703</v>
      </c>
      <c r="EW10" s="4">
        <v>39.60803540907505</v>
      </c>
    </row>
    <row r="11" spans="2:153" ht="29" x14ac:dyDescent="0.35">
      <c r="B11" s="11">
        <v>3</v>
      </c>
      <c r="C11" s="11">
        <v>4</v>
      </c>
      <c r="D11" s="12" t="s">
        <v>172</v>
      </c>
      <c r="E11" s="3" t="s">
        <v>176</v>
      </c>
      <c r="F11" s="6">
        <v>38920.499452407916</v>
      </c>
      <c r="G11" s="4">
        <v>0</v>
      </c>
      <c r="H11" s="4">
        <v>-40.501053720768361</v>
      </c>
      <c r="I11" s="4">
        <v>265.00558514961119</v>
      </c>
      <c r="J11" s="4">
        <v>34.632583158256466</v>
      </c>
      <c r="K11" s="4">
        <v>9.6040126699959941E-2</v>
      </c>
      <c r="L11" s="4">
        <v>-158.69976194197255</v>
      </c>
      <c r="M11" s="4">
        <v>-1.3125123634455491</v>
      </c>
      <c r="N11" s="4">
        <v>-29.480305989539733</v>
      </c>
      <c r="O11" s="4">
        <v>0</v>
      </c>
      <c r="P11" s="4">
        <v>0</v>
      </c>
      <c r="Q11" s="4">
        <v>604.79704291731241</v>
      </c>
      <c r="R11" s="4">
        <v>0</v>
      </c>
      <c r="S11" s="4">
        <v>2021.1734103782353</v>
      </c>
      <c r="T11" s="4">
        <v>439.55135640765315</v>
      </c>
      <c r="U11" s="4">
        <v>320.5579915223741</v>
      </c>
      <c r="V11" s="4">
        <v>0</v>
      </c>
      <c r="W11" s="4">
        <v>1.805548382981031</v>
      </c>
      <c r="X11" s="4">
        <v>0</v>
      </c>
      <c r="Y11" s="4">
        <v>165.19698638153889</v>
      </c>
      <c r="Z11" s="4">
        <v>172.43906769090518</v>
      </c>
      <c r="AA11" s="4">
        <v>571.27706360312072</v>
      </c>
      <c r="AB11" s="4">
        <v>0</v>
      </c>
      <c r="AC11" s="4">
        <v>211.37554443440962</v>
      </c>
      <c r="AD11" s="4">
        <v>0.23726395186956495</v>
      </c>
      <c r="AE11" s="4">
        <v>63.865557090446174</v>
      </c>
      <c r="AF11" s="4">
        <v>39.303190963600009</v>
      </c>
      <c r="AG11" s="4">
        <v>70.38</v>
      </c>
      <c r="AH11" s="4">
        <v>0</v>
      </c>
      <c r="AI11" s="4">
        <v>656.40884757660422</v>
      </c>
      <c r="AJ11" s="4">
        <v>438.37501956121343</v>
      </c>
      <c r="AK11" s="4">
        <v>32.709626666350019</v>
      </c>
      <c r="AL11" s="4">
        <v>0</v>
      </c>
      <c r="AM11" s="4">
        <v>0</v>
      </c>
      <c r="AN11" s="4">
        <v>0</v>
      </c>
      <c r="AO11" s="4">
        <v>29.713848888516832</v>
      </c>
      <c r="AP11" s="4">
        <v>5.7555091100625422</v>
      </c>
      <c r="AQ11" s="4">
        <v>-19.352694622863574</v>
      </c>
      <c r="AR11" s="4">
        <v>19.881038664087107</v>
      </c>
      <c r="AS11" s="4">
        <v>1.1389486794023103</v>
      </c>
      <c r="AT11" s="4">
        <v>10102.633</v>
      </c>
      <c r="AU11" s="4">
        <v>40.120767804826158</v>
      </c>
      <c r="AV11" s="4">
        <v>219.56350113433479</v>
      </c>
      <c r="AW11" s="4">
        <v>2.4166475616242322</v>
      </c>
      <c r="AX11" s="4">
        <v>60.746783905800775</v>
      </c>
      <c r="AY11" s="4">
        <v>92.03623324690119</v>
      </c>
      <c r="AZ11" s="4">
        <v>0</v>
      </c>
      <c r="BA11" s="4">
        <v>6.1851561962756992E-2</v>
      </c>
      <c r="BB11" s="4">
        <v>379.27780278099999</v>
      </c>
      <c r="BC11" s="4">
        <v>0</v>
      </c>
      <c r="BD11" s="4">
        <v>735.62314927806699</v>
      </c>
      <c r="BE11" s="4">
        <v>6.4975291194686342</v>
      </c>
      <c r="BF11" s="4">
        <v>0</v>
      </c>
      <c r="BG11" s="4">
        <v>0</v>
      </c>
      <c r="BH11" s="4">
        <v>657.41934037817589</v>
      </c>
      <c r="BI11" s="4">
        <v>0</v>
      </c>
      <c r="BJ11" s="4">
        <v>0</v>
      </c>
      <c r="BK11" s="4">
        <v>0</v>
      </c>
      <c r="BL11" s="4">
        <v>0</v>
      </c>
      <c r="BM11" s="4">
        <v>0</v>
      </c>
      <c r="BN11" s="4">
        <v>269.82169580563095</v>
      </c>
      <c r="BO11" s="4">
        <v>0</v>
      </c>
      <c r="BP11" s="4">
        <v>0</v>
      </c>
      <c r="BQ11" s="4">
        <v>1020.5954128975739</v>
      </c>
      <c r="BR11" s="4">
        <v>585.36536212793396</v>
      </c>
      <c r="BS11" s="4">
        <v>504.43269154924235</v>
      </c>
      <c r="BT11" s="4">
        <v>0</v>
      </c>
      <c r="BU11" s="4">
        <v>0</v>
      </c>
      <c r="BV11" s="4">
        <v>0</v>
      </c>
      <c r="BW11" s="4">
        <v>0</v>
      </c>
      <c r="BX11" s="4">
        <v>0</v>
      </c>
      <c r="BY11" s="4">
        <v>0</v>
      </c>
      <c r="BZ11" s="4">
        <v>0</v>
      </c>
      <c r="CA11" s="4">
        <v>0</v>
      </c>
      <c r="CB11" s="4">
        <v>0</v>
      </c>
      <c r="CC11" s="4">
        <v>0</v>
      </c>
      <c r="CD11" s="4">
        <v>0</v>
      </c>
      <c r="CE11" s="4">
        <v>3.5819875266799617</v>
      </c>
      <c r="CF11" s="4">
        <v>0</v>
      </c>
      <c r="CG11" s="4">
        <v>0</v>
      </c>
      <c r="CH11" s="4">
        <v>0</v>
      </c>
      <c r="CI11" s="4">
        <v>37.480555821498633</v>
      </c>
      <c r="CJ11" s="4">
        <v>161.76313199911388</v>
      </c>
      <c r="CK11" s="4">
        <v>177.60861156244806</v>
      </c>
      <c r="CL11" s="4">
        <v>178.09118977297587</v>
      </c>
      <c r="CM11" s="4">
        <v>28.959928284496211</v>
      </c>
      <c r="CN11" s="4">
        <v>16.063946503837112</v>
      </c>
      <c r="CO11" s="4">
        <v>0.8006094220549409</v>
      </c>
      <c r="CP11" s="4">
        <v>0</v>
      </c>
      <c r="CQ11" s="4">
        <v>612.3270020114029</v>
      </c>
      <c r="CR11" s="4">
        <v>62.846634052121594</v>
      </c>
      <c r="CS11" s="4">
        <v>53.204698750860807</v>
      </c>
      <c r="CT11" s="4">
        <v>496.1317279419136</v>
      </c>
      <c r="CU11" s="4">
        <v>56.606940277310848</v>
      </c>
      <c r="CV11" s="4">
        <v>166.72339324889916</v>
      </c>
      <c r="CW11" s="4">
        <v>0</v>
      </c>
      <c r="CX11" s="4">
        <v>24.036025543308998</v>
      </c>
      <c r="CY11" s="4">
        <v>6.2233197780201248</v>
      </c>
      <c r="CZ11" s="4">
        <v>0</v>
      </c>
      <c r="DA11" s="4">
        <v>255.01914960976606</v>
      </c>
      <c r="DB11" s="4">
        <v>52.199350483268013</v>
      </c>
      <c r="DC11" s="4">
        <v>49.931312698835555</v>
      </c>
      <c r="DD11" s="4">
        <v>15.62848222930881</v>
      </c>
      <c r="DE11" s="4">
        <v>21.255477597495123</v>
      </c>
      <c r="DF11" s="4">
        <v>62.004520705197372</v>
      </c>
      <c r="DG11" s="4">
        <v>15.204352969123933</v>
      </c>
      <c r="DH11" s="4">
        <v>101.05658013278703</v>
      </c>
      <c r="DI11" s="4">
        <v>0</v>
      </c>
      <c r="DJ11" s="4">
        <v>0</v>
      </c>
      <c r="DK11" s="4">
        <v>0</v>
      </c>
      <c r="DL11" s="4">
        <v>0</v>
      </c>
      <c r="DM11" s="4">
        <v>518.01846983275345</v>
      </c>
      <c r="DN11" s="4">
        <v>62.82439915440429</v>
      </c>
      <c r="DO11" s="4">
        <v>12.72796996506308</v>
      </c>
      <c r="DP11" s="4">
        <v>166.34940251507004</v>
      </c>
      <c r="DQ11" s="4">
        <v>125.57420286832131</v>
      </c>
      <c r="DR11" s="4">
        <v>76.022624938392681</v>
      </c>
      <c r="DS11" s="4">
        <v>413.64331506060387</v>
      </c>
      <c r="DT11" s="4">
        <v>120.41210251134029</v>
      </c>
      <c r="DU11" s="4">
        <v>22.101756087491641</v>
      </c>
      <c r="DV11" s="4">
        <v>119.22582431203665</v>
      </c>
      <c r="DW11" s="4">
        <v>0</v>
      </c>
      <c r="DX11" s="4">
        <v>0</v>
      </c>
      <c r="DY11" s="4">
        <v>0</v>
      </c>
      <c r="DZ11" s="4">
        <v>0</v>
      </c>
      <c r="EA11" s="4">
        <v>8.7841032810522579E-2</v>
      </c>
      <c r="EB11" s="4">
        <v>0</v>
      </c>
      <c r="EC11" s="4">
        <v>0</v>
      </c>
      <c r="ED11" s="4">
        <v>0</v>
      </c>
      <c r="EE11" s="4">
        <v>398.45290708610747</v>
      </c>
      <c r="EF11" s="4">
        <v>313.85159992266756</v>
      </c>
      <c r="EG11" s="4">
        <v>818.57857643060527</v>
      </c>
      <c r="EH11" s="4">
        <v>708.67011172294588</v>
      </c>
      <c r="EI11" s="4">
        <v>0</v>
      </c>
      <c r="EJ11" s="4">
        <v>0</v>
      </c>
      <c r="EK11" s="4">
        <v>0</v>
      </c>
      <c r="EL11" s="4">
        <v>0</v>
      </c>
      <c r="EM11" s="4">
        <v>0</v>
      </c>
      <c r="EN11" s="4">
        <v>0</v>
      </c>
      <c r="EO11" s="4">
        <v>2844.6972311810223</v>
      </c>
      <c r="EP11" s="4">
        <v>173.29455758630658</v>
      </c>
      <c r="EQ11" s="4">
        <v>0</v>
      </c>
      <c r="ER11" s="4">
        <v>6858.5141565086096</v>
      </c>
      <c r="ES11" s="4">
        <v>0</v>
      </c>
      <c r="ET11" s="4">
        <v>371.07753023770829</v>
      </c>
      <c r="EU11" s="4">
        <v>988.83403753197331</v>
      </c>
      <c r="EV11" s="4">
        <v>9.0985790252231986</v>
      </c>
      <c r="EW11" s="4">
        <v>550.75081615453462</v>
      </c>
    </row>
    <row r="12" spans="2:153" ht="29" x14ac:dyDescent="0.35">
      <c r="B12" s="11">
        <v>3</v>
      </c>
      <c r="C12" s="11">
        <v>5</v>
      </c>
      <c r="D12" s="12" t="s">
        <v>172</v>
      </c>
      <c r="E12" s="3" t="s">
        <v>177</v>
      </c>
      <c r="F12" s="6">
        <v>625.9236475873073</v>
      </c>
      <c r="G12" s="4">
        <v>0</v>
      </c>
      <c r="H12" s="4">
        <v>0</v>
      </c>
      <c r="I12" s="4">
        <v>4.6452680107725444</v>
      </c>
      <c r="J12" s="4">
        <v>6.0339539729248726</v>
      </c>
      <c r="K12" s="4">
        <v>0</v>
      </c>
      <c r="L12" s="4">
        <v>20.82042126811908</v>
      </c>
      <c r="M12" s="4">
        <v>0</v>
      </c>
      <c r="N12" s="4">
        <v>0</v>
      </c>
      <c r="O12" s="4">
        <v>0</v>
      </c>
      <c r="P12" s="4">
        <v>0</v>
      </c>
      <c r="Q12" s="4">
        <v>10.5598983416</v>
      </c>
      <c r="R12" s="4">
        <v>0</v>
      </c>
      <c r="S12" s="4">
        <v>6.7825016400000004</v>
      </c>
      <c r="T12" s="4">
        <v>3.8490408687</v>
      </c>
      <c r="U12" s="4">
        <v>3.6754288955000005</v>
      </c>
      <c r="V12" s="4">
        <v>0</v>
      </c>
      <c r="W12" s="4">
        <v>0</v>
      </c>
      <c r="X12" s="4">
        <v>0</v>
      </c>
      <c r="Y12" s="4">
        <v>0.15239302091999998</v>
      </c>
      <c r="Z12" s="4">
        <v>0</v>
      </c>
      <c r="AA12" s="4">
        <v>16.713785169000001</v>
      </c>
      <c r="AB12" s="4">
        <v>0</v>
      </c>
      <c r="AC12" s="4">
        <v>0.35617990221000001</v>
      </c>
      <c r="AD12" s="4">
        <v>0.33120513858</v>
      </c>
      <c r="AE12" s="4">
        <v>0</v>
      </c>
      <c r="AF12" s="4">
        <v>0.16359235659000002</v>
      </c>
      <c r="AG12" s="4">
        <v>6.6404452740000008E-2</v>
      </c>
      <c r="AH12" s="4">
        <v>0</v>
      </c>
      <c r="AI12" s="4">
        <v>0.43396653111400008</v>
      </c>
      <c r="AJ12" s="4">
        <v>0.29836261062000002</v>
      </c>
      <c r="AK12" s="4">
        <v>0.18707555776999998</v>
      </c>
      <c r="AL12" s="4">
        <v>0</v>
      </c>
      <c r="AM12" s="4">
        <v>0</v>
      </c>
      <c r="AN12" s="4">
        <v>0</v>
      </c>
      <c r="AO12" s="4">
        <v>2.3991068879000002E-2</v>
      </c>
      <c r="AP12" s="4">
        <v>0</v>
      </c>
      <c r="AQ12" s="4">
        <v>0</v>
      </c>
      <c r="AR12" s="4">
        <v>2.0479986920988664</v>
      </c>
      <c r="AS12" s="4">
        <v>0</v>
      </c>
      <c r="AT12" s="4">
        <v>13.605442580400002</v>
      </c>
      <c r="AU12" s="4">
        <v>1.4103342000000004E-3</v>
      </c>
      <c r="AV12" s="4">
        <v>3.5412209639999997E-2</v>
      </c>
      <c r="AW12" s="4">
        <v>0</v>
      </c>
      <c r="AX12" s="4">
        <v>0.43731150995999996</v>
      </c>
      <c r="AY12" s="4">
        <v>0.43941526245000007</v>
      </c>
      <c r="AZ12" s="4">
        <v>0</v>
      </c>
      <c r="BA12" s="4">
        <v>0</v>
      </c>
      <c r="BB12" s="4">
        <v>0.14328354410999999</v>
      </c>
      <c r="BC12" s="4">
        <v>0</v>
      </c>
      <c r="BD12" s="4">
        <v>1.7672723079211001</v>
      </c>
      <c r="BE12" s="4">
        <v>0</v>
      </c>
      <c r="BF12" s="4">
        <v>0</v>
      </c>
      <c r="BG12" s="4">
        <v>0</v>
      </c>
      <c r="BH12" s="4">
        <v>0.53509361670000011</v>
      </c>
      <c r="BI12" s="4">
        <v>0</v>
      </c>
      <c r="BJ12" s="4">
        <v>0</v>
      </c>
      <c r="BK12" s="4">
        <v>0</v>
      </c>
      <c r="BL12" s="4">
        <v>0</v>
      </c>
      <c r="BM12" s="4">
        <v>0</v>
      </c>
      <c r="BN12" s="4">
        <v>0</v>
      </c>
      <c r="BO12" s="4">
        <v>0</v>
      </c>
      <c r="BP12" s="4">
        <v>0</v>
      </c>
      <c r="BQ12" s="4">
        <v>14.567852071820001</v>
      </c>
      <c r="BR12" s="4">
        <v>1.4368834314999999</v>
      </c>
      <c r="BS12" s="4">
        <v>2.3900161339800006</v>
      </c>
      <c r="BT12" s="4">
        <v>0.42990366880500003</v>
      </c>
      <c r="BU12" s="4">
        <v>0</v>
      </c>
      <c r="BV12" s="4">
        <v>0</v>
      </c>
      <c r="BW12" s="4">
        <v>0</v>
      </c>
      <c r="BX12" s="4">
        <v>0</v>
      </c>
      <c r="BY12" s="4">
        <v>0</v>
      </c>
      <c r="BZ12" s="4">
        <v>0</v>
      </c>
      <c r="CA12" s="4">
        <v>0</v>
      </c>
      <c r="CB12" s="4">
        <v>0</v>
      </c>
      <c r="CC12" s="4">
        <v>0</v>
      </c>
      <c r="CD12" s="4">
        <v>0</v>
      </c>
      <c r="CE12" s="4">
        <v>2.6027076600000001E-3</v>
      </c>
      <c r="CF12" s="4">
        <v>0</v>
      </c>
      <c r="CG12" s="4">
        <v>0</v>
      </c>
      <c r="CH12" s="4">
        <v>0</v>
      </c>
      <c r="CI12" s="4">
        <v>7.6933730610000001E-2</v>
      </c>
      <c r="CJ12" s="4">
        <v>7.6208754725099997E-2</v>
      </c>
      <c r="CK12" s="4">
        <v>0.22872242332529999</v>
      </c>
      <c r="CL12" s="4">
        <v>4.5672390945000002E-2</v>
      </c>
      <c r="CM12" s="4">
        <v>5.6302208022599998E-2</v>
      </c>
      <c r="CN12" s="4">
        <v>1.791765495E-2</v>
      </c>
      <c r="CO12" s="4">
        <v>0</v>
      </c>
      <c r="CP12" s="4">
        <v>0</v>
      </c>
      <c r="CQ12" s="4">
        <v>11.211539007649865</v>
      </c>
      <c r="CR12" s="4">
        <v>4.2134072509499996</v>
      </c>
      <c r="CS12" s="4">
        <v>2.5972586415000002E-2</v>
      </c>
      <c r="CT12" s="4">
        <v>34.88226363326001</v>
      </c>
      <c r="CU12" s="4">
        <v>0</v>
      </c>
      <c r="CV12" s="4">
        <v>3.3755734175450964</v>
      </c>
      <c r="CW12" s="4">
        <v>8.8693804480980021E-2</v>
      </c>
      <c r="CX12" s="4">
        <v>1.2300058791499999</v>
      </c>
      <c r="CY12" s="4">
        <v>3.5848131120000008E-2</v>
      </c>
      <c r="CZ12" s="4">
        <v>3.4792944714000004E-2</v>
      </c>
      <c r="DA12" s="4">
        <v>16.454826099600005</v>
      </c>
      <c r="DB12" s="4">
        <v>6.7006797678196367E-2</v>
      </c>
      <c r="DC12" s="4">
        <v>1.2937811053251</v>
      </c>
      <c r="DD12" s="4">
        <v>0.66227325526250003</v>
      </c>
      <c r="DE12" s="4">
        <v>0.90486117379999997</v>
      </c>
      <c r="DF12" s="4">
        <v>0.32601323485100003</v>
      </c>
      <c r="DG12" s="4">
        <v>0.23857961218830004</v>
      </c>
      <c r="DH12" s="4">
        <v>0.24212873969999998</v>
      </c>
      <c r="DI12" s="4">
        <v>0</v>
      </c>
      <c r="DJ12" s="4">
        <v>0</v>
      </c>
      <c r="DK12" s="4">
        <v>0</v>
      </c>
      <c r="DL12" s="4">
        <v>0</v>
      </c>
      <c r="DM12" s="4">
        <v>0.17067704223150001</v>
      </c>
      <c r="DN12" s="4">
        <v>0.25799938625831026</v>
      </c>
      <c r="DO12" s="4">
        <v>8.6931012560000021E-2</v>
      </c>
      <c r="DP12" s="4">
        <v>0.31287777592399996</v>
      </c>
      <c r="DQ12" s="4">
        <v>8.8947533841373989</v>
      </c>
      <c r="DR12" s="4">
        <v>16.599201463678657</v>
      </c>
      <c r="DS12" s="4">
        <v>35.474266622641125</v>
      </c>
      <c r="DT12" s="4">
        <v>49.787397996832311</v>
      </c>
      <c r="DU12" s="4">
        <v>5.659370199886844</v>
      </c>
      <c r="DV12" s="4">
        <v>5.4080686253033985</v>
      </c>
      <c r="DW12" s="4">
        <v>0</v>
      </c>
      <c r="DX12" s="4">
        <v>0</v>
      </c>
      <c r="DY12" s="4">
        <v>0</v>
      </c>
      <c r="DZ12" s="4">
        <v>0</v>
      </c>
      <c r="EA12" s="4">
        <v>0</v>
      </c>
      <c r="EB12" s="4">
        <v>0</v>
      </c>
      <c r="EC12" s="4">
        <v>0</v>
      </c>
      <c r="ED12" s="4">
        <v>0</v>
      </c>
      <c r="EE12" s="4">
        <v>9.6816878585999994E-2</v>
      </c>
      <c r="EF12" s="4">
        <v>6.2961991810610396</v>
      </c>
      <c r="EG12" s="4">
        <v>0</v>
      </c>
      <c r="EH12" s="4">
        <v>224.61131024618942</v>
      </c>
      <c r="EI12" s="4">
        <v>0</v>
      </c>
      <c r="EJ12" s="4">
        <v>0</v>
      </c>
      <c r="EK12" s="4">
        <v>0</v>
      </c>
      <c r="EL12" s="4">
        <v>0</v>
      </c>
      <c r="EM12" s="4">
        <v>0</v>
      </c>
      <c r="EN12" s="4">
        <v>0</v>
      </c>
      <c r="EO12" s="4">
        <v>11.716548709363011</v>
      </c>
      <c r="EP12" s="4">
        <v>0</v>
      </c>
      <c r="EQ12" s="4">
        <v>0</v>
      </c>
      <c r="ER12" s="4">
        <v>4.0045947915052027</v>
      </c>
      <c r="ES12" s="4">
        <v>0</v>
      </c>
      <c r="ET12" s="4">
        <v>4.0552247253466476</v>
      </c>
      <c r="EU12" s="4">
        <v>43.365435194649997</v>
      </c>
      <c r="EV12" s="4">
        <v>10.645704928400001</v>
      </c>
      <c r="EW12" s="4">
        <v>9.7575787092000006</v>
      </c>
    </row>
    <row r="13" spans="2:153" x14ac:dyDescent="0.35">
      <c r="B13" s="11">
        <v>3</v>
      </c>
      <c r="C13" s="11">
        <v>6</v>
      </c>
      <c r="D13" s="12" t="s">
        <v>172</v>
      </c>
      <c r="E13" s="3" t="s">
        <v>178</v>
      </c>
      <c r="F13" s="6">
        <v>6734.7391153093222</v>
      </c>
      <c r="G13" s="4">
        <v>0</v>
      </c>
      <c r="H13" s="4">
        <v>0.31218678373490144</v>
      </c>
      <c r="I13" s="4">
        <v>494.18677753270964</v>
      </c>
      <c r="J13" s="4">
        <v>30.64500999881535</v>
      </c>
      <c r="K13" s="4">
        <v>2.8441781326018836E-3</v>
      </c>
      <c r="L13" s="4">
        <v>274.35464288234886</v>
      </c>
      <c r="M13" s="4">
        <v>0.66492137377320892</v>
      </c>
      <c r="N13" s="4">
        <v>23.838329895859296</v>
      </c>
      <c r="O13" s="4">
        <v>0</v>
      </c>
      <c r="P13" s="4">
        <v>104.82950056347434</v>
      </c>
      <c r="Q13" s="4">
        <v>415.4456889683857</v>
      </c>
      <c r="R13" s="4">
        <v>0</v>
      </c>
      <c r="S13" s="4">
        <v>408.77813475978286</v>
      </c>
      <c r="T13" s="4">
        <v>36.462516390307769</v>
      </c>
      <c r="U13" s="4">
        <v>21.232442859912773</v>
      </c>
      <c r="V13" s="4">
        <v>0.13659834471006022</v>
      </c>
      <c r="W13" s="4">
        <v>1.2075905816243073</v>
      </c>
      <c r="X13" s="4">
        <v>0</v>
      </c>
      <c r="Y13" s="4">
        <v>105.18752231012455</v>
      </c>
      <c r="Z13" s="4">
        <v>45.371670462657178</v>
      </c>
      <c r="AA13" s="4">
        <v>54.764348516337265</v>
      </c>
      <c r="AB13" s="4">
        <v>5.3543504193295082</v>
      </c>
      <c r="AC13" s="4">
        <v>19.62766169448118</v>
      </c>
      <c r="AD13" s="4">
        <v>17.847096430001091</v>
      </c>
      <c r="AE13" s="4">
        <v>13.978169631162928</v>
      </c>
      <c r="AF13" s="4">
        <v>37.297435062226199</v>
      </c>
      <c r="AG13" s="4">
        <v>11.306089438784106</v>
      </c>
      <c r="AH13" s="4">
        <v>0</v>
      </c>
      <c r="AI13" s="4">
        <v>106.4044027278817</v>
      </c>
      <c r="AJ13" s="4">
        <v>118.93782314115424</v>
      </c>
      <c r="AK13" s="4">
        <v>3.7482380365376606</v>
      </c>
      <c r="AL13" s="4">
        <v>0</v>
      </c>
      <c r="AM13" s="4">
        <v>0</v>
      </c>
      <c r="AN13" s="4">
        <v>6.9350960201699019</v>
      </c>
      <c r="AO13" s="4">
        <v>0.12949655801757651</v>
      </c>
      <c r="AP13" s="4">
        <v>7.7992107665121608</v>
      </c>
      <c r="AQ13" s="4">
        <v>0</v>
      </c>
      <c r="AR13" s="4">
        <v>95.014983397169004</v>
      </c>
      <c r="AS13" s="4">
        <v>0.16375331372833571</v>
      </c>
      <c r="AT13" s="4">
        <v>98.451602830366241</v>
      </c>
      <c r="AU13" s="4">
        <v>3.6841405813287862</v>
      </c>
      <c r="AV13" s="4">
        <v>79.236526297225808</v>
      </c>
      <c r="AW13" s="4">
        <v>4.0009754519402261</v>
      </c>
      <c r="AX13" s="4">
        <v>13.889709282037831</v>
      </c>
      <c r="AY13" s="4">
        <v>82.331408134388909</v>
      </c>
      <c r="AZ13" s="4">
        <v>0</v>
      </c>
      <c r="BA13" s="4">
        <v>10.810295982849691</v>
      </c>
      <c r="BB13" s="4">
        <v>36.960135170127174</v>
      </c>
      <c r="BC13" s="4">
        <v>0</v>
      </c>
      <c r="BD13" s="4">
        <v>0</v>
      </c>
      <c r="BE13" s="4">
        <v>0.84516468737252315</v>
      </c>
      <c r="BF13" s="4">
        <v>17.894337323801768</v>
      </c>
      <c r="BG13" s="4">
        <v>88.433488382503995</v>
      </c>
      <c r="BH13" s="4">
        <v>206.57922464763942</v>
      </c>
      <c r="BI13" s="4">
        <v>33.097019680416743</v>
      </c>
      <c r="BJ13" s="4">
        <v>3.723780627447971</v>
      </c>
      <c r="BK13" s="4">
        <v>4.589953240504955</v>
      </c>
      <c r="BL13" s="4">
        <v>5.9614621854313921</v>
      </c>
      <c r="BM13" s="4">
        <v>18.351565191028353</v>
      </c>
      <c r="BN13" s="4">
        <v>30.295875548711088</v>
      </c>
      <c r="BO13" s="4">
        <v>0</v>
      </c>
      <c r="BP13" s="4">
        <v>0</v>
      </c>
      <c r="BQ13" s="4">
        <v>0</v>
      </c>
      <c r="BR13" s="4">
        <v>127.09267265283739</v>
      </c>
      <c r="BS13" s="4">
        <v>0</v>
      </c>
      <c r="BT13" s="4">
        <v>845.83811096766726</v>
      </c>
      <c r="BU13" s="4">
        <v>0</v>
      </c>
      <c r="BV13" s="4">
        <v>0</v>
      </c>
      <c r="BW13" s="4">
        <v>0</v>
      </c>
      <c r="BX13" s="4">
        <v>0</v>
      </c>
      <c r="BY13" s="4">
        <v>0</v>
      </c>
      <c r="BZ13" s="4">
        <v>0</v>
      </c>
      <c r="CA13" s="4">
        <v>69.24437879864513</v>
      </c>
      <c r="CB13" s="4">
        <v>-334.18737030533521</v>
      </c>
      <c r="CC13" s="4">
        <v>98.743867362133003</v>
      </c>
      <c r="CD13" s="4">
        <v>143.98193766447244</v>
      </c>
      <c r="CE13" s="4">
        <v>13.989611213880126</v>
      </c>
      <c r="CF13" s="4">
        <v>0.75516878033712609</v>
      </c>
      <c r="CG13" s="4">
        <v>0</v>
      </c>
      <c r="CH13" s="4">
        <v>0</v>
      </c>
      <c r="CI13" s="4">
        <v>50.093367614387148</v>
      </c>
      <c r="CJ13" s="4">
        <v>20.513425500475925</v>
      </c>
      <c r="CK13" s="4">
        <v>60.329214593667956</v>
      </c>
      <c r="CL13" s="4">
        <v>0.83498806686632143</v>
      </c>
      <c r="CM13" s="4">
        <v>17.977317818090143</v>
      </c>
      <c r="CN13" s="4">
        <v>9.5361844319312503</v>
      </c>
      <c r="CO13" s="4">
        <v>0</v>
      </c>
      <c r="CP13" s="4">
        <v>0</v>
      </c>
      <c r="CQ13" s="4">
        <v>23.806849569176237</v>
      </c>
      <c r="CR13" s="4">
        <v>4.0979230037043246</v>
      </c>
      <c r="CS13" s="4">
        <v>39.70952107276738</v>
      </c>
      <c r="CT13" s="4">
        <v>42.561777855301159</v>
      </c>
      <c r="CU13" s="4">
        <v>5.6089167845340437</v>
      </c>
      <c r="CV13" s="4">
        <v>3.4274847448694477</v>
      </c>
      <c r="CW13" s="4">
        <v>4.2169592566673471</v>
      </c>
      <c r="CX13" s="4">
        <v>4.0565082205593317</v>
      </c>
      <c r="CY13" s="4">
        <v>19.350765771095507</v>
      </c>
      <c r="CZ13" s="4">
        <v>10.561155101112117</v>
      </c>
      <c r="DA13" s="4">
        <v>111.23317859945156</v>
      </c>
      <c r="DB13" s="4">
        <v>10.163621073548017</v>
      </c>
      <c r="DC13" s="4">
        <v>2.9989625671569207</v>
      </c>
      <c r="DD13" s="4">
        <v>4.5504753385384555</v>
      </c>
      <c r="DE13" s="4">
        <v>1.0814924809804636</v>
      </c>
      <c r="DF13" s="4">
        <v>0.17392958977743753</v>
      </c>
      <c r="DG13" s="4">
        <v>1.5707149216137533</v>
      </c>
      <c r="DH13" s="4">
        <v>3.1577053476221351</v>
      </c>
      <c r="DI13" s="4">
        <v>65.477325512152788</v>
      </c>
      <c r="DJ13" s="4">
        <v>0</v>
      </c>
      <c r="DK13" s="4">
        <v>0</v>
      </c>
      <c r="DL13" s="4">
        <v>0</v>
      </c>
      <c r="DM13" s="4">
        <v>16.715898722469021</v>
      </c>
      <c r="DN13" s="4">
        <v>3.3994577786303344</v>
      </c>
      <c r="DO13" s="4">
        <v>0.96310734331303627</v>
      </c>
      <c r="DP13" s="4">
        <v>4.446115469181577</v>
      </c>
      <c r="DQ13" s="4">
        <v>6.3758635306923779</v>
      </c>
      <c r="DR13" s="4">
        <v>2.4344968522477175</v>
      </c>
      <c r="DS13" s="4">
        <v>77.245196500525736</v>
      </c>
      <c r="DT13" s="4">
        <v>6.0542015842207322</v>
      </c>
      <c r="DU13" s="4">
        <v>0</v>
      </c>
      <c r="DV13" s="4">
        <v>39.405869043100175</v>
      </c>
      <c r="DW13" s="4">
        <v>35.973140203703018</v>
      </c>
      <c r="DX13" s="4">
        <v>7.7892868381063414</v>
      </c>
      <c r="DY13" s="4">
        <v>8.6321819000756967</v>
      </c>
      <c r="DZ13" s="4">
        <v>0.93722185014271253</v>
      </c>
      <c r="EA13" s="4">
        <v>0</v>
      </c>
      <c r="EB13" s="4">
        <v>13.028306469517112</v>
      </c>
      <c r="EC13" s="4">
        <v>1.9304315047424363</v>
      </c>
      <c r="ED13" s="4">
        <v>3.1850549671151418</v>
      </c>
      <c r="EE13" s="4">
        <v>60.55384793345435</v>
      </c>
      <c r="EF13" s="4">
        <v>37.397679348113385</v>
      </c>
      <c r="EG13" s="4">
        <v>65.362976325355277</v>
      </c>
      <c r="EH13" s="4">
        <v>366.05318253021466</v>
      </c>
      <c r="EI13" s="4">
        <v>12.710589413089698</v>
      </c>
      <c r="EJ13" s="4">
        <v>0</v>
      </c>
      <c r="EK13" s="4">
        <v>0</v>
      </c>
      <c r="EL13" s="4">
        <v>0</v>
      </c>
      <c r="EM13" s="4">
        <v>0</v>
      </c>
      <c r="EN13" s="4">
        <v>0</v>
      </c>
      <c r="EO13" s="4">
        <v>197.94630293781401</v>
      </c>
      <c r="EP13" s="4">
        <v>0</v>
      </c>
      <c r="EQ13" s="4">
        <v>88.694659953171524</v>
      </c>
      <c r="ER13" s="4">
        <v>444.58220114945675</v>
      </c>
      <c r="ES13" s="4">
        <v>0</v>
      </c>
      <c r="ET13" s="4">
        <v>79.885348692925604</v>
      </c>
      <c r="EU13" s="4">
        <v>431.29618787340485</v>
      </c>
      <c r="EV13" s="4">
        <v>26.916358452231655</v>
      </c>
      <c r="EW13" s="4">
        <v>11.174609886650238</v>
      </c>
    </row>
    <row r="14" spans="2:153" x14ac:dyDescent="0.35">
      <c r="B14" s="11">
        <v>3</v>
      </c>
      <c r="C14" s="11">
        <v>7</v>
      </c>
      <c r="D14" s="12" t="s">
        <v>172</v>
      </c>
      <c r="E14" s="3" t="s">
        <v>179</v>
      </c>
      <c r="F14" s="6">
        <v>6955.0291896007302</v>
      </c>
      <c r="G14" s="4">
        <v>0</v>
      </c>
      <c r="H14" s="4">
        <v>0</v>
      </c>
      <c r="I14" s="4">
        <v>235.02868272545456</v>
      </c>
      <c r="J14" s="4">
        <v>105.01637699853659</v>
      </c>
      <c r="K14" s="4">
        <v>0</v>
      </c>
      <c r="L14" s="4">
        <v>260.18483734139238</v>
      </c>
      <c r="M14" s="4">
        <v>0</v>
      </c>
      <c r="N14" s="4">
        <v>36.964505340000002</v>
      </c>
      <c r="O14" s="4">
        <v>0</v>
      </c>
      <c r="P14" s="4">
        <v>5.7894249635966224</v>
      </c>
      <c r="Q14" s="4">
        <v>137.01639080512007</v>
      </c>
      <c r="R14" s="4">
        <v>0</v>
      </c>
      <c r="S14" s="4">
        <v>191.05102379868853</v>
      </c>
      <c r="T14" s="4">
        <v>51.634636704000002</v>
      </c>
      <c r="U14" s="4">
        <v>40.036995103636364</v>
      </c>
      <c r="V14" s="4">
        <v>0</v>
      </c>
      <c r="W14" s="4">
        <v>0</v>
      </c>
      <c r="X14" s="4">
        <v>0</v>
      </c>
      <c r="Y14" s="4">
        <v>72.968116760000015</v>
      </c>
      <c r="Z14" s="4">
        <v>11.578849927193245</v>
      </c>
      <c r="AA14" s="4">
        <v>65.357196207692311</v>
      </c>
      <c r="AB14" s="4">
        <v>1.9298083211988741</v>
      </c>
      <c r="AC14" s="4">
        <v>35.473984874999992</v>
      </c>
      <c r="AD14" s="4">
        <v>17.247427680000001</v>
      </c>
      <c r="AE14" s="4">
        <v>0</v>
      </c>
      <c r="AF14" s="4">
        <v>141.90248226</v>
      </c>
      <c r="AG14" s="4">
        <v>44.061719843076929</v>
      </c>
      <c r="AH14" s="4">
        <v>0</v>
      </c>
      <c r="AI14" s="4">
        <v>150.78717897923079</v>
      </c>
      <c r="AJ14" s="4">
        <v>199.0314490408696</v>
      </c>
      <c r="AK14" s="4">
        <v>21.227891533187616</v>
      </c>
      <c r="AL14" s="4">
        <v>0</v>
      </c>
      <c r="AM14" s="4">
        <v>0</v>
      </c>
      <c r="AN14" s="4">
        <v>0</v>
      </c>
      <c r="AO14" s="4">
        <v>5.7894249635966224</v>
      </c>
      <c r="AP14" s="4">
        <v>9.6490416059943716</v>
      </c>
      <c r="AQ14" s="4">
        <v>0</v>
      </c>
      <c r="AR14" s="4">
        <v>21.070718339999999</v>
      </c>
      <c r="AS14" s="4">
        <v>0</v>
      </c>
      <c r="AT14" s="4">
        <v>165.23651375</v>
      </c>
      <c r="AU14" s="4">
        <v>5.0919359400000008</v>
      </c>
      <c r="AV14" s="4">
        <v>35.541673230000001</v>
      </c>
      <c r="AW14" s="4">
        <v>1.9298083211988741</v>
      </c>
      <c r="AX14" s="4">
        <v>20.823211499999999</v>
      </c>
      <c r="AY14" s="4">
        <v>153.43003610666665</v>
      </c>
      <c r="AZ14" s="4">
        <v>0</v>
      </c>
      <c r="BA14" s="4">
        <v>5.7894249635966224</v>
      </c>
      <c r="BB14" s="4">
        <v>62.707790210624992</v>
      </c>
      <c r="BC14" s="4">
        <v>1.9298083211988741</v>
      </c>
      <c r="BD14" s="4">
        <v>167.25192121615385</v>
      </c>
      <c r="BE14" s="4">
        <v>0</v>
      </c>
      <c r="BF14" s="4">
        <v>0</v>
      </c>
      <c r="BG14" s="4">
        <v>0</v>
      </c>
      <c r="BH14" s="4">
        <v>153.48689583599995</v>
      </c>
      <c r="BI14" s="4">
        <v>0</v>
      </c>
      <c r="BJ14" s="4">
        <v>0</v>
      </c>
      <c r="BK14" s="4">
        <v>0</v>
      </c>
      <c r="BL14" s="4">
        <v>0</v>
      </c>
      <c r="BM14" s="4">
        <v>0</v>
      </c>
      <c r="BN14" s="4">
        <v>0</v>
      </c>
      <c r="BO14" s="4">
        <v>0</v>
      </c>
      <c r="BP14" s="4">
        <v>0</v>
      </c>
      <c r="BQ14" s="4">
        <v>0</v>
      </c>
      <c r="BR14" s="4">
        <v>369.51387905569567</v>
      </c>
      <c r="BS14" s="4">
        <v>0</v>
      </c>
      <c r="BT14" s="4">
        <v>30.501763781621619</v>
      </c>
      <c r="BU14" s="4">
        <v>0</v>
      </c>
      <c r="BV14" s="4">
        <v>0</v>
      </c>
      <c r="BW14" s="4">
        <v>0</v>
      </c>
      <c r="BX14" s="4">
        <v>0</v>
      </c>
      <c r="BY14" s="4">
        <v>11.578849927193245</v>
      </c>
      <c r="BZ14" s="4">
        <v>0</v>
      </c>
      <c r="CA14" s="4">
        <v>5.7894249635966224</v>
      </c>
      <c r="CB14" s="4">
        <v>0</v>
      </c>
      <c r="CC14" s="4">
        <v>3.8596166423977483</v>
      </c>
      <c r="CD14" s="4">
        <v>1.9298083211988741</v>
      </c>
      <c r="CE14" s="4">
        <v>9.6490416059943716</v>
      </c>
      <c r="CF14" s="4">
        <v>0</v>
      </c>
      <c r="CG14" s="4">
        <v>0</v>
      </c>
      <c r="CH14" s="4">
        <v>0</v>
      </c>
      <c r="CI14" s="4">
        <v>62.159937143684211</v>
      </c>
      <c r="CJ14" s="4">
        <v>21.47094365294118</v>
      </c>
      <c r="CK14" s="4">
        <v>138.05535422000003</v>
      </c>
      <c r="CL14" s="4">
        <v>22.179088539999999</v>
      </c>
      <c r="CM14" s="4">
        <v>39.995232162199997</v>
      </c>
      <c r="CN14" s="4">
        <v>11.184518520000003</v>
      </c>
      <c r="CO14" s="4">
        <v>0</v>
      </c>
      <c r="CP14" s="4">
        <v>0</v>
      </c>
      <c r="CQ14" s="4">
        <v>34.527686274666664</v>
      </c>
      <c r="CR14" s="4">
        <v>28.977872839999996</v>
      </c>
      <c r="CS14" s="4">
        <v>82.447725131333343</v>
      </c>
      <c r="CT14" s="4">
        <v>78.856703239999987</v>
      </c>
      <c r="CU14" s="4">
        <v>12.055881599999999</v>
      </c>
      <c r="CV14" s="4">
        <v>10.976563500000001</v>
      </c>
      <c r="CW14" s="4">
        <v>14.902218426666666</v>
      </c>
      <c r="CX14" s="4">
        <v>5.4646720799999997</v>
      </c>
      <c r="CY14" s="4">
        <v>17.384165757000002</v>
      </c>
      <c r="CZ14" s="4">
        <v>17.368274890789866</v>
      </c>
      <c r="DA14" s="4">
        <v>147.16413560339728</v>
      </c>
      <c r="DB14" s="4">
        <v>12.93514152</v>
      </c>
      <c r="DC14" s="4">
        <v>2.8128371600000004</v>
      </c>
      <c r="DD14" s="4">
        <v>6.7566511599999997</v>
      </c>
      <c r="DE14" s="4">
        <v>22.497459915000004</v>
      </c>
      <c r="DF14" s="4">
        <v>9.13244115</v>
      </c>
      <c r="DG14" s="4">
        <v>3.2862438000000003</v>
      </c>
      <c r="DH14" s="4">
        <v>131.22696584152345</v>
      </c>
      <c r="DI14" s="4">
        <v>72.051123863249998</v>
      </c>
      <c r="DJ14" s="4">
        <v>0</v>
      </c>
      <c r="DK14" s="4">
        <v>0</v>
      </c>
      <c r="DL14" s="4">
        <v>0</v>
      </c>
      <c r="DM14" s="4">
        <v>56.178115572727286</v>
      </c>
      <c r="DN14" s="4">
        <v>15.438466569590993</v>
      </c>
      <c r="DO14" s="4">
        <v>10.120995753750002</v>
      </c>
      <c r="DP14" s="4">
        <v>33.657907359999996</v>
      </c>
      <c r="DQ14" s="4">
        <v>64.36320671899999</v>
      </c>
      <c r="DR14" s="4">
        <v>76.919225880000013</v>
      </c>
      <c r="DS14" s="4">
        <v>185.52437260682927</v>
      </c>
      <c r="DT14" s="4">
        <v>96.591199039999992</v>
      </c>
      <c r="DU14" s="4">
        <v>93.722050491999994</v>
      </c>
      <c r="DV14" s="4">
        <v>0</v>
      </c>
      <c r="DW14" s="4">
        <v>0</v>
      </c>
      <c r="DX14" s="4">
        <v>0</v>
      </c>
      <c r="DY14" s="4">
        <v>0</v>
      </c>
      <c r="DZ14" s="4">
        <v>0</v>
      </c>
      <c r="EA14" s="4">
        <v>0</v>
      </c>
      <c r="EB14" s="4">
        <v>0</v>
      </c>
      <c r="EC14" s="4">
        <v>0</v>
      </c>
      <c r="ED14" s="4">
        <v>0</v>
      </c>
      <c r="EE14" s="4">
        <v>24.726529380000002</v>
      </c>
      <c r="EF14" s="4">
        <v>38.467200734117654</v>
      </c>
      <c r="EG14" s="4">
        <v>119.64811591433019</v>
      </c>
      <c r="EH14" s="4">
        <v>850.34221085054492</v>
      </c>
      <c r="EI14" s="4">
        <v>9.6490416059943716</v>
      </c>
      <c r="EJ14" s="4">
        <v>0</v>
      </c>
      <c r="EK14" s="4">
        <v>1.9298083211988741</v>
      </c>
      <c r="EL14" s="4">
        <v>0</v>
      </c>
      <c r="EM14" s="4">
        <v>1.9298083211988741</v>
      </c>
      <c r="EN14" s="4">
        <v>1.9298083211988741</v>
      </c>
      <c r="EO14" s="4">
        <v>253.78324040629002</v>
      </c>
      <c r="EP14" s="4">
        <v>0</v>
      </c>
      <c r="EQ14" s="4">
        <v>19.298083211988743</v>
      </c>
      <c r="ER14" s="4">
        <v>443.47951065896507</v>
      </c>
      <c r="ES14" s="4">
        <v>1.9298083211988741</v>
      </c>
      <c r="ET14" s="4">
        <v>83.029440865000012</v>
      </c>
      <c r="EU14" s="4">
        <v>341.76738725578542</v>
      </c>
      <c r="EV14" s="4">
        <v>9.6490416059943716</v>
      </c>
      <c r="EW14" s="4">
        <v>48.245208029971856</v>
      </c>
    </row>
    <row r="15" spans="2:153" x14ac:dyDescent="0.35">
      <c r="B15" s="11">
        <v>3</v>
      </c>
      <c r="C15" s="11">
        <v>8</v>
      </c>
      <c r="D15" s="12" t="s">
        <v>172</v>
      </c>
      <c r="E15" s="3" t="s">
        <v>180</v>
      </c>
      <c r="F15" s="6">
        <v>2922.6611972084747</v>
      </c>
      <c r="G15" s="4">
        <v>0</v>
      </c>
      <c r="H15" s="4">
        <v>0</v>
      </c>
      <c r="I15" s="4">
        <v>47.464027039564911</v>
      </c>
      <c r="J15" s="4">
        <v>27.063455469685753</v>
      </c>
      <c r="K15" s="4">
        <v>0</v>
      </c>
      <c r="L15" s="4">
        <v>67.035659454725888</v>
      </c>
      <c r="M15" s="4">
        <v>3.1014447597664008</v>
      </c>
      <c r="N15" s="4">
        <v>20.096701152933715</v>
      </c>
      <c r="O15" s="4">
        <v>0</v>
      </c>
      <c r="P15" s="4">
        <v>2.1994778808270126</v>
      </c>
      <c r="Q15" s="4">
        <v>11.338805252499224</v>
      </c>
      <c r="R15" s="4">
        <v>0</v>
      </c>
      <c r="S15" s="4">
        <v>63.691270170582619</v>
      </c>
      <c r="T15" s="4">
        <v>26.582746112751899</v>
      </c>
      <c r="U15" s="4">
        <v>16.098465037360512</v>
      </c>
      <c r="V15" s="4">
        <v>1.3994075596132969</v>
      </c>
      <c r="W15" s="4">
        <v>1.854960682206598</v>
      </c>
      <c r="X15" s="4">
        <v>0</v>
      </c>
      <c r="Y15" s="4">
        <v>26.40640477485546</v>
      </c>
      <c r="Z15" s="4">
        <v>3.5752458895162529</v>
      </c>
      <c r="AA15" s="4">
        <v>76.724583745661477</v>
      </c>
      <c r="AB15" s="4">
        <v>0</v>
      </c>
      <c r="AC15" s="4">
        <v>45.555480076855581</v>
      </c>
      <c r="AD15" s="4">
        <v>6.4219450122272814</v>
      </c>
      <c r="AE15" s="4">
        <v>1.1851916632085444</v>
      </c>
      <c r="AF15" s="4">
        <v>64.984249431741034</v>
      </c>
      <c r="AG15" s="4">
        <v>9.7738498821916995</v>
      </c>
      <c r="AH15" s="4">
        <v>0</v>
      </c>
      <c r="AI15" s="4">
        <v>10.207651125072811</v>
      </c>
      <c r="AJ15" s="4">
        <v>31.138450951000216</v>
      </c>
      <c r="AK15" s="4">
        <v>8.6423420226618877</v>
      </c>
      <c r="AL15" s="4">
        <v>0</v>
      </c>
      <c r="AM15" s="4">
        <v>0</v>
      </c>
      <c r="AN15" s="4">
        <v>0</v>
      </c>
      <c r="AO15" s="4">
        <v>5.121888393836616</v>
      </c>
      <c r="AP15" s="4">
        <v>16.430000004959926</v>
      </c>
      <c r="AQ15" s="4">
        <v>0</v>
      </c>
      <c r="AR15" s="4">
        <v>8.970059851436174</v>
      </c>
      <c r="AS15" s="4">
        <v>0</v>
      </c>
      <c r="AT15" s="4">
        <v>105.27350225061902</v>
      </c>
      <c r="AU15" s="4">
        <v>4.1465538078092425</v>
      </c>
      <c r="AV15" s="4">
        <v>27.675826110340097</v>
      </c>
      <c r="AW15" s="4">
        <v>0</v>
      </c>
      <c r="AX15" s="4">
        <v>3.6553415948804258</v>
      </c>
      <c r="AY15" s="4">
        <v>84.460048181639777</v>
      </c>
      <c r="AZ15" s="4">
        <v>0</v>
      </c>
      <c r="BA15" s="4">
        <v>1.9129315308304402</v>
      </c>
      <c r="BB15" s="4">
        <v>15.992136974548806</v>
      </c>
      <c r="BC15" s="4">
        <v>0</v>
      </c>
      <c r="BD15" s="4">
        <v>7.9337395863453031</v>
      </c>
      <c r="BE15" s="4">
        <v>6.413577871497802</v>
      </c>
      <c r="BF15" s="4">
        <v>1.3793996311922025</v>
      </c>
      <c r="BG15" s="4">
        <v>18.739242169881216</v>
      </c>
      <c r="BH15" s="4">
        <v>57.5586104639195</v>
      </c>
      <c r="BI15" s="4">
        <v>0</v>
      </c>
      <c r="BJ15" s="4">
        <v>0</v>
      </c>
      <c r="BK15" s="4">
        <v>0</v>
      </c>
      <c r="BL15" s="4">
        <v>0</v>
      </c>
      <c r="BM15" s="4">
        <v>0</v>
      </c>
      <c r="BN15" s="4">
        <v>0</v>
      </c>
      <c r="BO15" s="4">
        <v>0</v>
      </c>
      <c r="BP15" s="4">
        <v>0</v>
      </c>
      <c r="BQ15" s="4">
        <v>0</v>
      </c>
      <c r="BR15" s="4">
        <v>172.29352145939191</v>
      </c>
      <c r="BS15" s="4">
        <v>0</v>
      </c>
      <c r="BT15" s="4">
        <v>61.668559862439125</v>
      </c>
      <c r="BU15" s="4">
        <v>0</v>
      </c>
      <c r="BV15" s="4">
        <v>0</v>
      </c>
      <c r="BW15" s="4">
        <v>0</v>
      </c>
      <c r="BX15" s="4">
        <v>0</v>
      </c>
      <c r="BY15" s="4">
        <v>0</v>
      </c>
      <c r="BZ15" s="4">
        <v>0</v>
      </c>
      <c r="CA15" s="4">
        <v>0</v>
      </c>
      <c r="CB15" s="4">
        <v>0</v>
      </c>
      <c r="CC15" s="4">
        <v>0</v>
      </c>
      <c r="CD15" s="4">
        <v>0</v>
      </c>
      <c r="CE15" s="4">
        <v>3.8196360692777938</v>
      </c>
      <c r="CF15" s="4">
        <v>0</v>
      </c>
      <c r="CG15" s="4">
        <v>0</v>
      </c>
      <c r="CH15" s="4">
        <v>0</v>
      </c>
      <c r="CI15" s="4">
        <v>10.467294798620337</v>
      </c>
      <c r="CJ15" s="4">
        <v>14.998202321315638</v>
      </c>
      <c r="CK15" s="4">
        <v>64.110868893004508</v>
      </c>
      <c r="CL15" s="4">
        <v>9.3791390787819484</v>
      </c>
      <c r="CM15" s="4">
        <v>20.173696527749588</v>
      </c>
      <c r="CN15" s="4">
        <v>3.4862702892072766</v>
      </c>
      <c r="CO15" s="4">
        <v>1.0465966671830118</v>
      </c>
      <c r="CP15" s="4">
        <v>0</v>
      </c>
      <c r="CQ15" s="4">
        <v>39.344856845688547</v>
      </c>
      <c r="CR15" s="4">
        <v>12.22354147294894</v>
      </c>
      <c r="CS15" s="4">
        <v>16.007723108225949</v>
      </c>
      <c r="CT15" s="4">
        <v>64.944389057308726</v>
      </c>
      <c r="CU15" s="4">
        <v>1.8885248269853947</v>
      </c>
      <c r="CV15" s="4">
        <v>1.9672654740413904</v>
      </c>
      <c r="CW15" s="4">
        <v>4.9134735512590924</v>
      </c>
      <c r="CX15" s="4">
        <v>5.7014577271941675</v>
      </c>
      <c r="CY15" s="4">
        <v>12.190223655477268</v>
      </c>
      <c r="CZ15" s="4">
        <v>3.7096933762399238</v>
      </c>
      <c r="DA15" s="4">
        <v>45.898558049279984</v>
      </c>
      <c r="DB15" s="4">
        <v>8.2195756989299724</v>
      </c>
      <c r="DC15" s="4">
        <v>5.3208392208743298</v>
      </c>
      <c r="DD15" s="4">
        <v>3.8642831656135685</v>
      </c>
      <c r="DE15" s="4">
        <v>9.285418293120129</v>
      </c>
      <c r="DF15" s="4">
        <v>3.7633127730665725</v>
      </c>
      <c r="DG15" s="4">
        <v>2.1518438303228864</v>
      </c>
      <c r="DH15" s="4">
        <v>0</v>
      </c>
      <c r="DI15" s="4">
        <v>2.060649761211518</v>
      </c>
      <c r="DJ15" s="4">
        <v>-8.7846951370995896</v>
      </c>
      <c r="DK15" s="4">
        <v>0</v>
      </c>
      <c r="DL15" s="4">
        <v>0</v>
      </c>
      <c r="DM15" s="4">
        <v>35.284908740744186</v>
      </c>
      <c r="DN15" s="4">
        <v>2.9155837366109454</v>
      </c>
      <c r="DO15" s="4">
        <v>8.4257495159349425</v>
      </c>
      <c r="DP15" s="4">
        <v>15.914858458107155</v>
      </c>
      <c r="DQ15" s="4">
        <v>12.375314204153197</v>
      </c>
      <c r="DR15" s="4">
        <v>7.2816950045311328</v>
      </c>
      <c r="DS15" s="4">
        <v>35.184834792658975</v>
      </c>
      <c r="DT15" s="4">
        <v>9.7160662494580361</v>
      </c>
      <c r="DU15" s="4">
        <v>3.5034515609615187</v>
      </c>
      <c r="DV15" s="4">
        <v>29.827734966887974</v>
      </c>
      <c r="DW15" s="4">
        <v>0</v>
      </c>
      <c r="DX15" s="4">
        <v>0</v>
      </c>
      <c r="DY15" s="4">
        <v>0</v>
      </c>
      <c r="DZ15" s="4">
        <v>0</v>
      </c>
      <c r="EA15" s="4">
        <v>6.9525544381376312</v>
      </c>
      <c r="EB15" s="4">
        <v>5.4414129905621911</v>
      </c>
      <c r="EC15" s="4">
        <v>3.0858681433563193</v>
      </c>
      <c r="ED15" s="4">
        <v>0</v>
      </c>
      <c r="EE15" s="4">
        <v>4.8625801046826771</v>
      </c>
      <c r="EF15" s="4">
        <v>20.802004305556039</v>
      </c>
      <c r="EG15" s="4">
        <v>0</v>
      </c>
      <c r="EH15" s="4">
        <v>696.14387343446242</v>
      </c>
      <c r="EI15" s="4">
        <v>0</v>
      </c>
      <c r="EJ15" s="4">
        <v>0</v>
      </c>
      <c r="EK15" s="4">
        <v>0</v>
      </c>
      <c r="EL15" s="4">
        <v>0</v>
      </c>
      <c r="EM15" s="4">
        <v>0</v>
      </c>
      <c r="EN15" s="4">
        <v>0</v>
      </c>
      <c r="EO15" s="4">
        <v>138.24755441379057</v>
      </c>
      <c r="EP15" s="4">
        <v>0</v>
      </c>
      <c r="EQ15" s="4">
        <v>0</v>
      </c>
      <c r="ER15" s="4">
        <v>132.42197889272731</v>
      </c>
      <c r="ES15" s="4">
        <v>0</v>
      </c>
      <c r="ET15" s="4">
        <v>45.902640468149073</v>
      </c>
      <c r="EU15" s="4">
        <v>122.77079652765171</v>
      </c>
      <c r="EV15" s="4">
        <v>20.013202639199495</v>
      </c>
      <c r="EW15" s="4">
        <v>31.267139331245879</v>
      </c>
    </row>
    <row r="16" spans="2:153" ht="29" x14ac:dyDescent="0.35">
      <c r="B16" s="11">
        <v>3</v>
      </c>
      <c r="C16" s="11">
        <v>9</v>
      </c>
      <c r="D16" s="12" t="s">
        <v>181</v>
      </c>
      <c r="E16" s="3" t="s">
        <v>182</v>
      </c>
      <c r="F16" s="6">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c r="BO16" s="4">
        <v>0</v>
      </c>
      <c r="BP16" s="4">
        <v>0</v>
      </c>
      <c r="BQ16" s="4">
        <v>0</v>
      </c>
      <c r="BR16" s="4">
        <v>0</v>
      </c>
      <c r="BS16" s="4">
        <v>0</v>
      </c>
      <c r="BT16" s="4">
        <v>0</v>
      </c>
      <c r="BU16" s="4">
        <v>0</v>
      </c>
      <c r="BV16" s="4">
        <v>0</v>
      </c>
      <c r="BW16" s="4">
        <v>0</v>
      </c>
      <c r="BX16" s="4">
        <v>0</v>
      </c>
      <c r="BY16" s="4">
        <v>0</v>
      </c>
      <c r="BZ16" s="4">
        <v>0</v>
      </c>
      <c r="CA16" s="4">
        <v>0</v>
      </c>
      <c r="CB16" s="4">
        <v>0</v>
      </c>
      <c r="CC16" s="4">
        <v>0</v>
      </c>
      <c r="CD16" s="4">
        <v>0</v>
      </c>
      <c r="CE16" s="4">
        <v>0</v>
      </c>
      <c r="CF16" s="4">
        <v>0</v>
      </c>
      <c r="CG16" s="4">
        <v>0</v>
      </c>
      <c r="CH16" s="4">
        <v>0</v>
      </c>
      <c r="CI16" s="4">
        <v>0</v>
      </c>
      <c r="CJ16" s="4">
        <v>0</v>
      </c>
      <c r="CK16" s="4">
        <v>0</v>
      </c>
      <c r="CL16" s="4">
        <v>0</v>
      </c>
      <c r="CM16" s="4">
        <v>0</v>
      </c>
      <c r="CN16" s="4">
        <v>0</v>
      </c>
      <c r="CO16" s="4">
        <v>0</v>
      </c>
      <c r="CP16" s="4">
        <v>0</v>
      </c>
      <c r="CQ16" s="4">
        <v>0</v>
      </c>
      <c r="CR16" s="4">
        <v>0</v>
      </c>
      <c r="CS16" s="4">
        <v>0</v>
      </c>
      <c r="CT16" s="4">
        <v>0</v>
      </c>
      <c r="CU16" s="4">
        <v>0</v>
      </c>
      <c r="CV16" s="4">
        <v>0</v>
      </c>
      <c r="CW16" s="4">
        <v>0</v>
      </c>
      <c r="CX16" s="4">
        <v>0</v>
      </c>
      <c r="CY16" s="4">
        <v>0</v>
      </c>
      <c r="CZ16" s="4">
        <v>0</v>
      </c>
      <c r="DA16" s="4">
        <v>0</v>
      </c>
      <c r="DB16" s="4">
        <v>0</v>
      </c>
      <c r="DC16" s="4">
        <v>0</v>
      </c>
      <c r="DD16" s="4">
        <v>0</v>
      </c>
      <c r="DE16" s="4">
        <v>0</v>
      </c>
      <c r="DF16" s="4">
        <v>0</v>
      </c>
      <c r="DG16" s="4">
        <v>0</v>
      </c>
      <c r="DH16" s="4">
        <v>0</v>
      </c>
      <c r="DI16" s="4">
        <v>0</v>
      </c>
      <c r="DJ16" s="4">
        <v>0</v>
      </c>
      <c r="DK16" s="4">
        <v>0</v>
      </c>
      <c r="DL16" s="4">
        <v>0</v>
      </c>
      <c r="DM16" s="4">
        <v>0</v>
      </c>
      <c r="DN16" s="4">
        <v>0</v>
      </c>
      <c r="DO16" s="4">
        <v>0</v>
      </c>
      <c r="DP16" s="4">
        <v>0</v>
      </c>
      <c r="DQ16" s="4">
        <v>0</v>
      </c>
      <c r="DR16" s="4">
        <v>0</v>
      </c>
      <c r="DS16" s="4">
        <v>0</v>
      </c>
      <c r="DT16" s="4">
        <v>0</v>
      </c>
      <c r="DU16" s="4">
        <v>0</v>
      </c>
      <c r="DV16" s="4">
        <v>0</v>
      </c>
      <c r="DW16" s="4">
        <v>0</v>
      </c>
      <c r="DX16" s="4">
        <v>0</v>
      </c>
      <c r="DY16" s="4">
        <v>0</v>
      </c>
      <c r="DZ16" s="4">
        <v>0</v>
      </c>
      <c r="EA16" s="4">
        <v>0</v>
      </c>
      <c r="EB16" s="4">
        <v>0</v>
      </c>
      <c r="EC16" s="4">
        <v>0</v>
      </c>
      <c r="ED16" s="4">
        <v>0</v>
      </c>
      <c r="EE16" s="4">
        <v>0</v>
      </c>
      <c r="EF16" s="4">
        <v>0</v>
      </c>
      <c r="EG16" s="4">
        <v>0</v>
      </c>
      <c r="EH16" s="4">
        <v>0</v>
      </c>
      <c r="EI16" s="4">
        <v>0</v>
      </c>
      <c r="EJ16" s="4">
        <v>0</v>
      </c>
      <c r="EK16" s="4">
        <v>0</v>
      </c>
      <c r="EL16" s="4">
        <v>0</v>
      </c>
      <c r="EM16" s="4">
        <v>0</v>
      </c>
      <c r="EN16" s="4">
        <v>0</v>
      </c>
      <c r="EO16" s="4">
        <v>0</v>
      </c>
      <c r="EP16" s="4">
        <v>0</v>
      </c>
      <c r="EQ16" s="4">
        <v>0</v>
      </c>
      <c r="ER16" s="4">
        <v>0</v>
      </c>
      <c r="ES16" s="4">
        <v>0</v>
      </c>
      <c r="ET16" s="4">
        <v>0</v>
      </c>
      <c r="EU16" s="4">
        <v>0</v>
      </c>
      <c r="EV16" s="4">
        <v>0</v>
      </c>
      <c r="EW16" s="4">
        <v>0</v>
      </c>
    </row>
    <row r="17" spans="2:153" x14ac:dyDescent="0.35">
      <c r="B17" s="11">
        <v>3</v>
      </c>
      <c r="C17" s="11">
        <v>10</v>
      </c>
      <c r="D17" s="12" t="s">
        <v>181</v>
      </c>
      <c r="E17" s="3" t="s">
        <v>183</v>
      </c>
      <c r="F17" s="6">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c r="BO17" s="4">
        <v>0</v>
      </c>
      <c r="BP17" s="4">
        <v>0</v>
      </c>
      <c r="BQ17" s="4">
        <v>0</v>
      </c>
      <c r="BR17" s="4">
        <v>0</v>
      </c>
      <c r="BS17" s="4">
        <v>0</v>
      </c>
      <c r="BT17" s="4">
        <v>0</v>
      </c>
      <c r="BU17" s="4">
        <v>0</v>
      </c>
      <c r="BV17" s="4">
        <v>0</v>
      </c>
      <c r="BW17" s="4">
        <v>0</v>
      </c>
      <c r="BX17" s="4">
        <v>0</v>
      </c>
      <c r="BY17" s="4">
        <v>0</v>
      </c>
      <c r="BZ17" s="4">
        <v>0</v>
      </c>
      <c r="CA17" s="4">
        <v>0</v>
      </c>
      <c r="CB17" s="4">
        <v>0</v>
      </c>
      <c r="CC17" s="4">
        <v>0</v>
      </c>
      <c r="CD17" s="4">
        <v>0</v>
      </c>
      <c r="CE17" s="4">
        <v>0</v>
      </c>
      <c r="CF17" s="4">
        <v>0</v>
      </c>
      <c r="CG17" s="4">
        <v>0</v>
      </c>
      <c r="CH17" s="4">
        <v>0</v>
      </c>
      <c r="CI17" s="4">
        <v>0</v>
      </c>
      <c r="CJ17" s="4">
        <v>0</v>
      </c>
      <c r="CK17" s="4">
        <v>0</v>
      </c>
      <c r="CL17" s="4">
        <v>0</v>
      </c>
      <c r="CM17" s="4">
        <v>0</v>
      </c>
      <c r="CN17" s="4">
        <v>0</v>
      </c>
      <c r="CO17" s="4">
        <v>0</v>
      </c>
      <c r="CP17" s="4">
        <v>0</v>
      </c>
      <c r="CQ17" s="4">
        <v>0</v>
      </c>
      <c r="CR17" s="4">
        <v>0</v>
      </c>
      <c r="CS17" s="4">
        <v>0</v>
      </c>
      <c r="CT17" s="4">
        <v>0</v>
      </c>
      <c r="CU17" s="4">
        <v>0</v>
      </c>
      <c r="CV17" s="4">
        <v>0</v>
      </c>
      <c r="CW17" s="4">
        <v>0</v>
      </c>
      <c r="CX17" s="4">
        <v>0</v>
      </c>
      <c r="CY17" s="4">
        <v>0</v>
      </c>
      <c r="CZ17" s="4">
        <v>0</v>
      </c>
      <c r="DA17" s="4">
        <v>0</v>
      </c>
      <c r="DB17" s="4">
        <v>0</v>
      </c>
      <c r="DC17" s="4">
        <v>0</v>
      </c>
      <c r="DD17" s="4">
        <v>0</v>
      </c>
      <c r="DE17" s="4">
        <v>0</v>
      </c>
      <c r="DF17" s="4">
        <v>0</v>
      </c>
      <c r="DG17" s="4">
        <v>0</v>
      </c>
      <c r="DH17" s="4">
        <v>0</v>
      </c>
      <c r="DI17" s="4">
        <v>0</v>
      </c>
      <c r="DJ17" s="4">
        <v>0</v>
      </c>
      <c r="DK17" s="4">
        <v>0</v>
      </c>
      <c r="DL17" s="4">
        <v>0</v>
      </c>
      <c r="DM17" s="4">
        <v>0</v>
      </c>
      <c r="DN17" s="4">
        <v>0</v>
      </c>
      <c r="DO17" s="4">
        <v>0</v>
      </c>
      <c r="DP17" s="4">
        <v>0</v>
      </c>
      <c r="DQ17" s="4">
        <v>0</v>
      </c>
      <c r="DR17" s="4">
        <v>0</v>
      </c>
      <c r="DS17" s="4">
        <v>0</v>
      </c>
      <c r="DT17" s="4">
        <v>0</v>
      </c>
      <c r="DU17" s="4">
        <v>0</v>
      </c>
      <c r="DV17" s="4">
        <v>0</v>
      </c>
      <c r="DW17" s="4">
        <v>0</v>
      </c>
      <c r="DX17" s="4">
        <v>0</v>
      </c>
      <c r="DY17" s="4">
        <v>0</v>
      </c>
      <c r="DZ17" s="4">
        <v>0</v>
      </c>
      <c r="EA17" s="4">
        <v>0</v>
      </c>
      <c r="EB17" s="4">
        <v>0</v>
      </c>
      <c r="EC17" s="4">
        <v>0</v>
      </c>
      <c r="ED17" s="4">
        <v>0</v>
      </c>
      <c r="EE17" s="4">
        <v>0</v>
      </c>
      <c r="EF17" s="4">
        <v>0</v>
      </c>
      <c r="EG17" s="4">
        <v>0</v>
      </c>
      <c r="EH17" s="4">
        <v>0</v>
      </c>
      <c r="EI17" s="4">
        <v>0</v>
      </c>
      <c r="EJ17" s="4">
        <v>0</v>
      </c>
      <c r="EK17" s="4">
        <v>0</v>
      </c>
      <c r="EL17" s="4">
        <v>0</v>
      </c>
      <c r="EM17" s="4">
        <v>0</v>
      </c>
      <c r="EN17" s="4">
        <v>0</v>
      </c>
      <c r="EO17" s="4">
        <v>0</v>
      </c>
      <c r="EP17" s="4">
        <v>0</v>
      </c>
      <c r="EQ17" s="4">
        <v>0</v>
      </c>
      <c r="ER17" s="4">
        <v>0</v>
      </c>
      <c r="ES17" s="4">
        <v>0</v>
      </c>
      <c r="ET17" s="4">
        <v>0</v>
      </c>
      <c r="EU17" s="4">
        <v>0</v>
      </c>
      <c r="EV17" s="4">
        <v>0</v>
      </c>
      <c r="EW17" s="4">
        <v>0</v>
      </c>
    </row>
    <row r="18" spans="2:153" x14ac:dyDescent="0.35">
      <c r="B18" s="11">
        <v>3</v>
      </c>
      <c r="C18" s="11">
        <v>11</v>
      </c>
      <c r="D18" s="12" t="s">
        <v>181</v>
      </c>
      <c r="E18" s="3" t="s">
        <v>184</v>
      </c>
      <c r="F18" s="6">
        <v>1722.2300450773316</v>
      </c>
      <c r="G18" s="4">
        <v>0</v>
      </c>
      <c r="H18" s="4">
        <v>0</v>
      </c>
      <c r="I18" s="4">
        <v>836.8489316299864</v>
      </c>
      <c r="J18" s="4">
        <v>0</v>
      </c>
      <c r="K18" s="4">
        <v>0</v>
      </c>
      <c r="L18" s="4">
        <v>0</v>
      </c>
      <c r="M18" s="4">
        <v>0</v>
      </c>
      <c r="N18" s="4">
        <v>0</v>
      </c>
      <c r="O18" s="4">
        <v>0</v>
      </c>
      <c r="P18" s="4">
        <v>0</v>
      </c>
      <c r="Q18" s="4">
        <v>474.82489488603898</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410.55621856130614</v>
      </c>
      <c r="AS18" s="4">
        <v>0</v>
      </c>
      <c r="AT18" s="4">
        <v>0</v>
      </c>
      <c r="AU18" s="4">
        <v>0</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c r="BO18" s="4">
        <v>0</v>
      </c>
      <c r="BP18" s="4">
        <v>0</v>
      </c>
      <c r="BQ18" s="4">
        <v>0</v>
      </c>
      <c r="BR18" s="4">
        <v>0</v>
      </c>
      <c r="BS18" s="4">
        <v>0</v>
      </c>
      <c r="BT18" s="4">
        <v>0</v>
      </c>
      <c r="BU18" s="4">
        <v>0</v>
      </c>
      <c r="BV18" s="4">
        <v>0</v>
      </c>
      <c r="BW18" s="4">
        <v>0</v>
      </c>
      <c r="BX18" s="4">
        <v>0</v>
      </c>
      <c r="BY18" s="4">
        <v>0</v>
      </c>
      <c r="BZ18" s="4">
        <v>0</v>
      </c>
      <c r="CA18" s="4">
        <v>0</v>
      </c>
      <c r="CB18" s="4">
        <v>0</v>
      </c>
      <c r="CC18" s="4">
        <v>0</v>
      </c>
      <c r="CD18" s="4">
        <v>0</v>
      </c>
      <c r="CE18" s="4">
        <v>0</v>
      </c>
      <c r="CF18" s="4">
        <v>0</v>
      </c>
      <c r="CG18" s="4">
        <v>0</v>
      </c>
      <c r="CH18" s="4">
        <v>0</v>
      </c>
      <c r="CI18" s="4">
        <v>0</v>
      </c>
      <c r="CJ18" s="4">
        <v>0</v>
      </c>
      <c r="CK18" s="4">
        <v>0</v>
      </c>
      <c r="CL18" s="4">
        <v>0</v>
      </c>
      <c r="CM18" s="4">
        <v>0</v>
      </c>
      <c r="CN18" s="4">
        <v>0</v>
      </c>
      <c r="CO18" s="4">
        <v>0</v>
      </c>
      <c r="CP18" s="4">
        <v>0</v>
      </c>
      <c r="CQ18" s="4">
        <v>0</v>
      </c>
      <c r="CR18" s="4">
        <v>0</v>
      </c>
      <c r="CS18" s="4">
        <v>0</v>
      </c>
      <c r="CT18" s="4">
        <v>0</v>
      </c>
      <c r="CU18" s="4">
        <v>0</v>
      </c>
      <c r="CV18" s="4">
        <v>0</v>
      </c>
      <c r="CW18" s="4">
        <v>0</v>
      </c>
      <c r="CX18" s="4">
        <v>0</v>
      </c>
      <c r="CY18" s="4">
        <v>0</v>
      </c>
      <c r="CZ18" s="4">
        <v>0</v>
      </c>
      <c r="DA18" s="4">
        <v>0</v>
      </c>
      <c r="DB18" s="4">
        <v>0</v>
      </c>
      <c r="DC18" s="4">
        <v>0</v>
      </c>
      <c r="DD18" s="4">
        <v>0</v>
      </c>
      <c r="DE18" s="4">
        <v>0</v>
      </c>
      <c r="DF18" s="4">
        <v>0</v>
      </c>
      <c r="DG18" s="4">
        <v>0</v>
      </c>
      <c r="DH18" s="4">
        <v>0</v>
      </c>
      <c r="DI18" s="4">
        <v>0</v>
      </c>
      <c r="DJ18" s="4">
        <v>0</v>
      </c>
      <c r="DK18" s="4">
        <v>0</v>
      </c>
      <c r="DL18" s="4">
        <v>0</v>
      </c>
      <c r="DM18" s="4">
        <v>0</v>
      </c>
      <c r="DN18" s="4">
        <v>0</v>
      </c>
      <c r="DO18" s="4">
        <v>0</v>
      </c>
      <c r="DP18" s="4">
        <v>0</v>
      </c>
      <c r="DQ18" s="4">
        <v>0</v>
      </c>
      <c r="DR18" s="4">
        <v>0</v>
      </c>
      <c r="DS18" s="4">
        <v>0</v>
      </c>
      <c r="DT18" s="4">
        <v>0</v>
      </c>
      <c r="DU18" s="4">
        <v>0</v>
      </c>
      <c r="DV18" s="4">
        <v>0</v>
      </c>
      <c r="DW18" s="4">
        <v>0</v>
      </c>
      <c r="DX18" s="4">
        <v>0</v>
      </c>
      <c r="DY18" s="4">
        <v>0</v>
      </c>
      <c r="DZ18" s="4">
        <v>0</v>
      </c>
      <c r="EA18" s="4">
        <v>0</v>
      </c>
      <c r="EB18" s="4">
        <v>0</v>
      </c>
      <c r="EC18" s="4">
        <v>0</v>
      </c>
      <c r="ED18" s="4">
        <v>0</v>
      </c>
      <c r="EE18" s="4">
        <v>0</v>
      </c>
      <c r="EF18" s="4">
        <v>0</v>
      </c>
      <c r="EG18" s="4">
        <v>0</v>
      </c>
      <c r="EH18" s="4">
        <v>0</v>
      </c>
      <c r="EI18" s="4">
        <v>0</v>
      </c>
      <c r="EJ18" s="4">
        <v>0</v>
      </c>
      <c r="EK18" s="4">
        <v>0</v>
      </c>
      <c r="EL18" s="4">
        <v>0</v>
      </c>
      <c r="EM18" s="4">
        <v>0</v>
      </c>
      <c r="EN18" s="4">
        <v>0</v>
      </c>
      <c r="EO18" s="4">
        <v>0</v>
      </c>
      <c r="EP18" s="4">
        <v>0</v>
      </c>
      <c r="EQ18" s="4">
        <v>0</v>
      </c>
      <c r="ER18" s="4">
        <v>0</v>
      </c>
      <c r="ES18" s="4">
        <v>0</v>
      </c>
      <c r="ET18" s="4">
        <v>0</v>
      </c>
      <c r="EU18" s="4">
        <v>0</v>
      </c>
      <c r="EV18" s="4">
        <v>0</v>
      </c>
      <c r="EW18" s="4">
        <v>0</v>
      </c>
    </row>
    <row r="19" spans="2:153" ht="29" x14ac:dyDescent="0.35">
      <c r="B19" s="11">
        <v>3</v>
      </c>
      <c r="C19" s="11">
        <v>12</v>
      </c>
      <c r="D19" s="12" t="s">
        <v>181</v>
      </c>
      <c r="E19" s="3" t="s">
        <v>185</v>
      </c>
      <c r="F19" s="6">
        <v>41.126644371441188</v>
      </c>
      <c r="G19" s="4">
        <v>0</v>
      </c>
      <c r="H19" s="4">
        <v>0.13351087383689678</v>
      </c>
      <c r="I19" s="4">
        <v>0.55060462014134182</v>
      </c>
      <c r="J19" s="4">
        <v>3.8586405413653678E-2</v>
      </c>
      <c r="K19" s="4">
        <v>0</v>
      </c>
      <c r="L19" s="4">
        <v>0.23349914961848245</v>
      </c>
      <c r="M19" s="4">
        <v>2.2755932121273015E-2</v>
      </c>
      <c r="N19" s="4">
        <v>7.3636837679721887E-2</v>
      </c>
      <c r="O19" s="4">
        <v>0</v>
      </c>
      <c r="P19" s="4">
        <v>0</v>
      </c>
      <c r="Q19" s="4">
        <v>0.69212601133703666</v>
      </c>
      <c r="R19" s="4">
        <v>0</v>
      </c>
      <c r="S19" s="4">
        <v>1.1492134033272829</v>
      </c>
      <c r="T19" s="4">
        <v>0.35103609208362069</v>
      </c>
      <c r="U19" s="4">
        <v>0.16503497529754782</v>
      </c>
      <c r="V19" s="4">
        <v>0</v>
      </c>
      <c r="W19" s="4">
        <v>4.4876826290243636E-3</v>
      </c>
      <c r="X19" s="4">
        <v>0</v>
      </c>
      <c r="Y19" s="4">
        <v>0.45966792725996602</v>
      </c>
      <c r="Z19" s="4">
        <v>0.12969616394210923</v>
      </c>
      <c r="AA19" s="4">
        <v>0.31753577715351344</v>
      </c>
      <c r="AB19" s="4">
        <v>0</v>
      </c>
      <c r="AC19" s="4">
        <v>0.25985901792686072</v>
      </c>
      <c r="AD19" s="4">
        <v>8.9151338411679007E-2</v>
      </c>
      <c r="AE19" s="4">
        <v>0.14812370741755385</v>
      </c>
      <c r="AF19" s="4">
        <v>0.91858168456865841</v>
      </c>
      <c r="AG19" s="4">
        <v>6.2500774181284371E-2</v>
      </c>
      <c r="AH19" s="4">
        <v>0</v>
      </c>
      <c r="AI19" s="4">
        <v>0.55191760167674875</v>
      </c>
      <c r="AJ19" s="4">
        <v>0.34562971083601446</v>
      </c>
      <c r="AK19" s="4">
        <v>3.3362403320418711E-2</v>
      </c>
      <c r="AL19" s="4">
        <v>0</v>
      </c>
      <c r="AM19" s="4">
        <v>0</v>
      </c>
      <c r="AN19" s="4">
        <v>0</v>
      </c>
      <c r="AO19" s="4">
        <v>5.0122827390033209E-2</v>
      </c>
      <c r="AP19" s="4">
        <v>0</v>
      </c>
      <c r="AQ19" s="4">
        <v>2.8199125868855101E-2</v>
      </c>
      <c r="AR19" s="4">
        <v>6.1549145951495791E-2</v>
      </c>
      <c r="AS19" s="4">
        <v>1.9252164445626931E-3</v>
      </c>
      <c r="AT19" s="4">
        <v>3.9153210758789458</v>
      </c>
      <c r="AU19" s="4">
        <v>1.6691873793553247E-2</v>
      </c>
      <c r="AV19" s="4">
        <v>0.17039275335003712</v>
      </c>
      <c r="AW19" s="4">
        <v>0</v>
      </c>
      <c r="AX19" s="4">
        <v>6.2584835809337006E-2</v>
      </c>
      <c r="AY19" s="4">
        <v>0.37801865910497728</v>
      </c>
      <c r="AZ19" s="4">
        <v>0</v>
      </c>
      <c r="BA19" s="4">
        <v>1.4346910727053885E-4</v>
      </c>
      <c r="BB19" s="4">
        <v>0.48691386891523586</v>
      </c>
      <c r="BC19" s="4">
        <v>0</v>
      </c>
      <c r="BD19" s="4">
        <v>0.86279697220070706</v>
      </c>
      <c r="BE19" s="4">
        <v>0</v>
      </c>
      <c r="BF19" s="4">
        <v>0</v>
      </c>
      <c r="BG19" s="4">
        <v>0</v>
      </c>
      <c r="BH19" s="4">
        <v>0.79210268470139789</v>
      </c>
      <c r="BI19" s="4">
        <v>0</v>
      </c>
      <c r="BJ19" s="4">
        <v>0</v>
      </c>
      <c r="BK19" s="4">
        <v>0</v>
      </c>
      <c r="BL19" s="4">
        <v>0</v>
      </c>
      <c r="BM19" s="4">
        <v>0</v>
      </c>
      <c r="BN19" s="4">
        <v>0.13243490650106887</v>
      </c>
      <c r="BO19" s="4">
        <v>0</v>
      </c>
      <c r="BP19" s="4">
        <v>0</v>
      </c>
      <c r="BQ19" s="4">
        <v>1.8509529148513291</v>
      </c>
      <c r="BR19" s="4">
        <v>0.29813814779147774</v>
      </c>
      <c r="BS19" s="4">
        <v>0.56838970731470706</v>
      </c>
      <c r="BT19" s="4">
        <v>0</v>
      </c>
      <c r="BU19" s="4">
        <v>0</v>
      </c>
      <c r="BV19" s="4">
        <v>0</v>
      </c>
      <c r="BW19" s="4">
        <v>0</v>
      </c>
      <c r="BX19" s="4">
        <v>0</v>
      </c>
      <c r="BY19" s="4">
        <v>0</v>
      </c>
      <c r="BZ19" s="4">
        <v>0</v>
      </c>
      <c r="CA19" s="4">
        <v>0</v>
      </c>
      <c r="CB19" s="4">
        <v>0</v>
      </c>
      <c r="CC19" s="4">
        <v>0</v>
      </c>
      <c r="CD19" s="4">
        <v>0</v>
      </c>
      <c r="CE19" s="4">
        <v>1.4282406467799194E-3</v>
      </c>
      <c r="CF19" s="4">
        <v>0</v>
      </c>
      <c r="CG19" s="4">
        <v>0</v>
      </c>
      <c r="CH19" s="4">
        <v>0</v>
      </c>
      <c r="CI19" s="4">
        <v>0</v>
      </c>
      <c r="CJ19" s="4">
        <v>0</v>
      </c>
      <c r="CK19" s="4">
        <v>0.15920269720138236</v>
      </c>
      <c r="CL19" s="4">
        <v>6.075894465215579E-2</v>
      </c>
      <c r="CM19" s="4">
        <v>0</v>
      </c>
      <c r="CN19" s="4">
        <v>1.7774912703252595E-2</v>
      </c>
      <c r="CO19" s="4">
        <v>0</v>
      </c>
      <c r="CP19" s="4">
        <v>0</v>
      </c>
      <c r="CQ19" s="4">
        <v>0</v>
      </c>
      <c r="CR19" s="4">
        <v>0</v>
      </c>
      <c r="CS19" s="4">
        <v>0</v>
      </c>
      <c r="CT19" s="4">
        <v>0.34970943552971934</v>
      </c>
      <c r="CU19" s="4">
        <v>0</v>
      </c>
      <c r="CV19" s="4">
        <v>3.4484593011557436E-2</v>
      </c>
      <c r="CW19" s="4">
        <v>0</v>
      </c>
      <c r="CX19" s="4">
        <v>2.280662156297425E-2</v>
      </c>
      <c r="CY19" s="4">
        <v>0</v>
      </c>
      <c r="CZ19" s="4">
        <v>0</v>
      </c>
      <c r="DA19" s="4">
        <v>0</v>
      </c>
      <c r="DB19" s="4">
        <v>0</v>
      </c>
      <c r="DC19" s="4">
        <v>2.7303105867958387E-2</v>
      </c>
      <c r="DD19" s="4">
        <v>1.4805760731664477E-3</v>
      </c>
      <c r="DE19" s="4">
        <v>1.8894344561539562E-2</v>
      </c>
      <c r="DF19" s="4">
        <v>0</v>
      </c>
      <c r="DG19" s="4">
        <v>1.1204855569532672E-2</v>
      </c>
      <c r="DH19" s="4">
        <v>0.18564158893715738</v>
      </c>
      <c r="DI19" s="4">
        <v>0</v>
      </c>
      <c r="DJ19" s="4">
        <v>0</v>
      </c>
      <c r="DK19" s="4">
        <v>0</v>
      </c>
      <c r="DL19" s="4">
        <v>0</v>
      </c>
      <c r="DM19" s="4">
        <v>0.57834578757295885</v>
      </c>
      <c r="DN19" s="4">
        <v>2.407327350641926E-2</v>
      </c>
      <c r="DO19" s="4">
        <v>7.1063431539443861E-3</v>
      </c>
      <c r="DP19" s="4">
        <v>0.13169041790899164</v>
      </c>
      <c r="DQ19" s="4">
        <v>0</v>
      </c>
      <c r="DR19" s="4">
        <v>0</v>
      </c>
      <c r="DS19" s="4">
        <v>0</v>
      </c>
      <c r="DT19" s="4">
        <v>0</v>
      </c>
      <c r="DU19" s="4">
        <v>4.7690898539420622E-2</v>
      </c>
      <c r="DV19" s="4">
        <v>0.26140620578233015</v>
      </c>
      <c r="DW19" s="4">
        <v>0</v>
      </c>
      <c r="DX19" s="4">
        <v>0</v>
      </c>
      <c r="DY19" s="4">
        <v>0</v>
      </c>
      <c r="DZ19" s="4">
        <v>0</v>
      </c>
      <c r="EA19" s="4">
        <v>2.0375353764931888E-4</v>
      </c>
      <c r="EB19" s="4">
        <v>0</v>
      </c>
      <c r="EC19" s="4">
        <v>0</v>
      </c>
      <c r="ED19" s="4">
        <v>0</v>
      </c>
      <c r="EE19" s="4">
        <v>2.3509601449809934E-2</v>
      </c>
      <c r="EF19" s="4">
        <v>0.22195173659367937</v>
      </c>
      <c r="EG19" s="4">
        <v>0</v>
      </c>
      <c r="EH19" s="4">
        <v>14.411158592458907</v>
      </c>
      <c r="EI19" s="4">
        <v>0</v>
      </c>
      <c r="EJ19" s="4">
        <v>0</v>
      </c>
      <c r="EK19" s="4">
        <v>0</v>
      </c>
      <c r="EL19" s="4">
        <v>0</v>
      </c>
      <c r="EM19" s="4">
        <v>0</v>
      </c>
      <c r="EN19" s="4">
        <v>0</v>
      </c>
      <c r="EO19" s="4">
        <v>0.27297358373941216</v>
      </c>
      <c r="EP19" s="4">
        <v>5.1337395828901559E-2</v>
      </c>
      <c r="EQ19" s="4">
        <v>0</v>
      </c>
      <c r="ER19" s="4">
        <v>6.6180040056438081</v>
      </c>
      <c r="ES19" s="4">
        <v>0</v>
      </c>
      <c r="ET19" s="4">
        <v>0.57941266472946906</v>
      </c>
      <c r="EU19" s="4">
        <v>0.59858824043145975</v>
      </c>
      <c r="EV19" s="4">
        <v>1.3056790911619683E-3</v>
      </c>
      <c r="EW19" s="4">
        <v>0</v>
      </c>
    </row>
    <row r="20" spans="2:153" x14ac:dyDescent="0.35">
      <c r="B20" s="11">
        <v>3</v>
      </c>
      <c r="C20" s="11">
        <v>13</v>
      </c>
      <c r="D20" s="12" t="s">
        <v>181</v>
      </c>
      <c r="E20" s="3" t="s">
        <v>186</v>
      </c>
      <c r="F20" s="6">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c r="BO20" s="4">
        <v>0</v>
      </c>
      <c r="BP20" s="4">
        <v>0</v>
      </c>
      <c r="BQ20" s="4">
        <v>0</v>
      </c>
      <c r="BR20" s="4">
        <v>0</v>
      </c>
      <c r="BS20" s="4">
        <v>0</v>
      </c>
      <c r="BT20" s="4">
        <v>0</v>
      </c>
      <c r="BU20" s="4">
        <v>0</v>
      </c>
      <c r="BV20" s="4">
        <v>0</v>
      </c>
      <c r="BW20" s="4">
        <v>0</v>
      </c>
      <c r="BX20" s="4">
        <v>0</v>
      </c>
      <c r="BY20" s="4">
        <v>0</v>
      </c>
      <c r="BZ20" s="4">
        <v>0</v>
      </c>
      <c r="CA20" s="4">
        <v>0</v>
      </c>
      <c r="CB20" s="4">
        <v>0</v>
      </c>
      <c r="CC20" s="4">
        <v>0</v>
      </c>
      <c r="CD20" s="4">
        <v>0</v>
      </c>
      <c r="CE20" s="4">
        <v>0</v>
      </c>
      <c r="CF20" s="4">
        <v>0</v>
      </c>
      <c r="CG20" s="4">
        <v>0</v>
      </c>
      <c r="CH20" s="4">
        <v>0</v>
      </c>
      <c r="CI20" s="4">
        <v>0</v>
      </c>
      <c r="CJ20" s="4">
        <v>0</v>
      </c>
      <c r="CK20" s="4">
        <v>0</v>
      </c>
      <c r="CL20" s="4">
        <v>0</v>
      </c>
      <c r="CM20" s="4">
        <v>0</v>
      </c>
      <c r="CN20" s="4">
        <v>0</v>
      </c>
      <c r="CO20" s="4">
        <v>0</v>
      </c>
      <c r="CP20" s="4">
        <v>0</v>
      </c>
      <c r="CQ20" s="4">
        <v>0</v>
      </c>
      <c r="CR20" s="4">
        <v>0</v>
      </c>
      <c r="CS20" s="4">
        <v>0</v>
      </c>
      <c r="CT20" s="4">
        <v>0</v>
      </c>
      <c r="CU20" s="4">
        <v>0</v>
      </c>
      <c r="CV20" s="4">
        <v>0</v>
      </c>
      <c r="CW20" s="4">
        <v>0</v>
      </c>
      <c r="CX20" s="4">
        <v>0</v>
      </c>
      <c r="CY20" s="4">
        <v>0</v>
      </c>
      <c r="CZ20" s="4">
        <v>0</v>
      </c>
      <c r="DA20" s="4">
        <v>0</v>
      </c>
      <c r="DB20" s="4">
        <v>0</v>
      </c>
      <c r="DC20" s="4">
        <v>0</v>
      </c>
      <c r="DD20" s="4">
        <v>0</v>
      </c>
      <c r="DE20" s="4">
        <v>0</v>
      </c>
      <c r="DF20" s="4">
        <v>0</v>
      </c>
      <c r="DG20" s="4">
        <v>0</v>
      </c>
      <c r="DH20" s="4">
        <v>0</v>
      </c>
      <c r="DI20" s="4">
        <v>0</v>
      </c>
      <c r="DJ20" s="4">
        <v>0</v>
      </c>
      <c r="DK20" s="4">
        <v>0</v>
      </c>
      <c r="DL20" s="4">
        <v>0</v>
      </c>
      <c r="DM20" s="4">
        <v>0</v>
      </c>
      <c r="DN20" s="4">
        <v>0</v>
      </c>
      <c r="DO20" s="4">
        <v>0</v>
      </c>
      <c r="DP20" s="4">
        <v>0</v>
      </c>
      <c r="DQ20" s="4">
        <v>0</v>
      </c>
      <c r="DR20" s="4">
        <v>0</v>
      </c>
      <c r="DS20" s="4">
        <v>0</v>
      </c>
      <c r="DT20" s="4">
        <v>0</v>
      </c>
      <c r="DU20" s="4">
        <v>0</v>
      </c>
      <c r="DV20" s="4">
        <v>0</v>
      </c>
      <c r="DW20" s="4">
        <v>0</v>
      </c>
      <c r="DX20" s="4">
        <v>0</v>
      </c>
      <c r="DY20" s="4">
        <v>0</v>
      </c>
      <c r="DZ20" s="4">
        <v>0</v>
      </c>
      <c r="EA20" s="4">
        <v>0</v>
      </c>
      <c r="EB20" s="4">
        <v>0</v>
      </c>
      <c r="EC20" s="4">
        <v>0</v>
      </c>
      <c r="ED20" s="4">
        <v>0</v>
      </c>
      <c r="EE20" s="4">
        <v>0</v>
      </c>
      <c r="EF20" s="4">
        <v>0</v>
      </c>
      <c r="EG20" s="4">
        <v>0</v>
      </c>
      <c r="EH20" s="4">
        <v>0</v>
      </c>
      <c r="EI20" s="4">
        <v>0</v>
      </c>
      <c r="EJ20" s="4">
        <v>0</v>
      </c>
      <c r="EK20" s="4">
        <v>0</v>
      </c>
      <c r="EL20" s="4">
        <v>0</v>
      </c>
      <c r="EM20" s="4">
        <v>0</v>
      </c>
      <c r="EN20" s="4">
        <v>0</v>
      </c>
      <c r="EO20" s="4">
        <v>0</v>
      </c>
      <c r="EP20" s="4">
        <v>0</v>
      </c>
      <c r="EQ20" s="4">
        <v>0</v>
      </c>
      <c r="ER20" s="4">
        <v>0</v>
      </c>
      <c r="ES20" s="4">
        <v>0</v>
      </c>
      <c r="ET20" s="4">
        <v>0</v>
      </c>
      <c r="EU20" s="4">
        <v>0</v>
      </c>
      <c r="EV20" s="4">
        <v>0</v>
      </c>
      <c r="EW20" s="4">
        <v>0</v>
      </c>
    </row>
    <row r="21" spans="2:153" x14ac:dyDescent="0.35">
      <c r="B21" s="11">
        <v>3</v>
      </c>
      <c r="C21" s="11">
        <v>14</v>
      </c>
      <c r="D21" s="12" t="s">
        <v>181</v>
      </c>
      <c r="E21" s="3" t="s">
        <v>187</v>
      </c>
      <c r="F21" s="6">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4">
        <v>0</v>
      </c>
      <c r="BF21" s="4">
        <v>0</v>
      </c>
      <c r="BG21" s="4">
        <v>0</v>
      </c>
      <c r="BH21" s="4">
        <v>0</v>
      </c>
      <c r="BI21" s="4">
        <v>0</v>
      </c>
      <c r="BJ21" s="4">
        <v>0</v>
      </c>
      <c r="BK21" s="4">
        <v>0</v>
      </c>
      <c r="BL21" s="4">
        <v>0</v>
      </c>
      <c r="BM21" s="4">
        <v>0</v>
      </c>
      <c r="BN21" s="4">
        <v>0</v>
      </c>
      <c r="BO21" s="4">
        <v>0</v>
      </c>
      <c r="BP21" s="4">
        <v>0</v>
      </c>
      <c r="BQ21" s="4">
        <v>0</v>
      </c>
      <c r="BR21" s="4">
        <v>0</v>
      </c>
      <c r="BS21" s="4">
        <v>0</v>
      </c>
      <c r="BT21" s="4">
        <v>0</v>
      </c>
      <c r="BU21" s="4">
        <v>0</v>
      </c>
      <c r="BV21" s="4">
        <v>0</v>
      </c>
      <c r="BW21" s="4">
        <v>0</v>
      </c>
      <c r="BX21" s="4">
        <v>0</v>
      </c>
      <c r="BY21" s="4">
        <v>0</v>
      </c>
      <c r="BZ21" s="4">
        <v>0</v>
      </c>
      <c r="CA21" s="4">
        <v>0</v>
      </c>
      <c r="CB21" s="4">
        <v>0</v>
      </c>
      <c r="CC21" s="4">
        <v>0</v>
      </c>
      <c r="CD21" s="4">
        <v>0</v>
      </c>
      <c r="CE21" s="4">
        <v>0</v>
      </c>
      <c r="CF21" s="4">
        <v>0</v>
      </c>
      <c r="CG21" s="4">
        <v>0</v>
      </c>
      <c r="CH21" s="4">
        <v>0</v>
      </c>
      <c r="CI21" s="4">
        <v>0</v>
      </c>
      <c r="CJ21" s="4">
        <v>0</v>
      </c>
      <c r="CK21" s="4">
        <v>0</v>
      </c>
      <c r="CL21" s="4">
        <v>0</v>
      </c>
      <c r="CM21" s="4">
        <v>0</v>
      </c>
      <c r="CN21" s="4">
        <v>0</v>
      </c>
      <c r="CO21" s="4">
        <v>0</v>
      </c>
      <c r="CP21" s="4">
        <v>0</v>
      </c>
      <c r="CQ21" s="4">
        <v>0</v>
      </c>
      <c r="CR21" s="4">
        <v>0</v>
      </c>
      <c r="CS21" s="4">
        <v>0</v>
      </c>
      <c r="CT21" s="4">
        <v>0</v>
      </c>
      <c r="CU21" s="4">
        <v>0</v>
      </c>
      <c r="CV21" s="4">
        <v>0</v>
      </c>
      <c r="CW21" s="4">
        <v>0</v>
      </c>
      <c r="CX21" s="4">
        <v>0</v>
      </c>
      <c r="CY21" s="4">
        <v>0</v>
      </c>
      <c r="CZ21" s="4">
        <v>0</v>
      </c>
      <c r="DA21" s="4">
        <v>0</v>
      </c>
      <c r="DB21" s="4">
        <v>0</v>
      </c>
      <c r="DC21" s="4">
        <v>0</v>
      </c>
      <c r="DD21" s="4">
        <v>0</v>
      </c>
      <c r="DE21" s="4">
        <v>0</v>
      </c>
      <c r="DF21" s="4">
        <v>0</v>
      </c>
      <c r="DG21" s="4">
        <v>0</v>
      </c>
      <c r="DH21" s="4">
        <v>0</v>
      </c>
      <c r="DI21" s="4">
        <v>0</v>
      </c>
      <c r="DJ21" s="4">
        <v>0</v>
      </c>
      <c r="DK21" s="4">
        <v>0</v>
      </c>
      <c r="DL21" s="4">
        <v>0</v>
      </c>
      <c r="DM21" s="4">
        <v>0</v>
      </c>
      <c r="DN21" s="4">
        <v>0</v>
      </c>
      <c r="DO21" s="4">
        <v>0</v>
      </c>
      <c r="DP21" s="4">
        <v>0</v>
      </c>
      <c r="DQ21" s="4">
        <v>0</v>
      </c>
      <c r="DR21" s="4">
        <v>0</v>
      </c>
      <c r="DS21" s="4">
        <v>0</v>
      </c>
      <c r="DT21" s="4">
        <v>0</v>
      </c>
      <c r="DU21" s="4">
        <v>0</v>
      </c>
      <c r="DV21" s="4">
        <v>0</v>
      </c>
      <c r="DW21" s="4">
        <v>0</v>
      </c>
      <c r="DX21" s="4">
        <v>0</v>
      </c>
      <c r="DY21" s="4">
        <v>0</v>
      </c>
      <c r="DZ21" s="4">
        <v>0</v>
      </c>
      <c r="EA21" s="4">
        <v>0</v>
      </c>
      <c r="EB21" s="4">
        <v>0</v>
      </c>
      <c r="EC21" s="4">
        <v>0</v>
      </c>
      <c r="ED21" s="4">
        <v>0</v>
      </c>
      <c r="EE21" s="4">
        <v>0</v>
      </c>
      <c r="EF21" s="4">
        <v>0</v>
      </c>
      <c r="EG21" s="4">
        <v>0</v>
      </c>
      <c r="EH21" s="4">
        <v>0</v>
      </c>
      <c r="EI21" s="4">
        <v>0</v>
      </c>
      <c r="EJ21" s="4">
        <v>0</v>
      </c>
      <c r="EK21" s="4">
        <v>0</v>
      </c>
      <c r="EL21" s="4">
        <v>0</v>
      </c>
      <c r="EM21" s="4">
        <v>0</v>
      </c>
      <c r="EN21" s="4">
        <v>0</v>
      </c>
      <c r="EO21" s="4">
        <v>0</v>
      </c>
      <c r="EP21" s="4">
        <v>0</v>
      </c>
      <c r="EQ21" s="4">
        <v>0</v>
      </c>
      <c r="ER21" s="4">
        <v>0</v>
      </c>
      <c r="ES21" s="4">
        <v>0</v>
      </c>
      <c r="ET21" s="4">
        <v>0</v>
      </c>
      <c r="EU21" s="4">
        <v>0</v>
      </c>
      <c r="EV21" s="4">
        <v>0</v>
      </c>
      <c r="EW21" s="4">
        <v>0</v>
      </c>
    </row>
    <row r="22" spans="2:153" x14ac:dyDescent="0.35">
      <c r="B22" s="12">
        <v>3</v>
      </c>
      <c r="C22" s="12">
        <v>15</v>
      </c>
      <c r="D22" s="12" t="s">
        <v>181</v>
      </c>
      <c r="E22" s="13" t="s">
        <v>188</v>
      </c>
      <c r="F22" s="6">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4">
        <v>0</v>
      </c>
      <c r="BF22" s="4">
        <v>0</v>
      </c>
      <c r="BG22" s="4">
        <v>0</v>
      </c>
      <c r="BH22" s="4">
        <v>0</v>
      </c>
      <c r="BI22" s="4">
        <v>0</v>
      </c>
      <c r="BJ22" s="4">
        <v>0</v>
      </c>
      <c r="BK22" s="4">
        <v>0</v>
      </c>
      <c r="BL22" s="4">
        <v>0</v>
      </c>
      <c r="BM22" s="4">
        <v>0</v>
      </c>
      <c r="BN22" s="4">
        <v>0</v>
      </c>
      <c r="BO22" s="4">
        <v>0</v>
      </c>
      <c r="BP22" s="4">
        <v>0</v>
      </c>
      <c r="BQ22" s="4">
        <v>0</v>
      </c>
      <c r="BR22" s="4">
        <v>0</v>
      </c>
      <c r="BS22" s="4">
        <v>0</v>
      </c>
      <c r="BT22" s="4">
        <v>0</v>
      </c>
      <c r="BU22" s="4">
        <v>0</v>
      </c>
      <c r="BV22" s="4">
        <v>0</v>
      </c>
      <c r="BW22" s="4">
        <v>0</v>
      </c>
      <c r="BX22" s="4">
        <v>0</v>
      </c>
      <c r="BY22" s="4">
        <v>0</v>
      </c>
      <c r="BZ22" s="4">
        <v>0</v>
      </c>
      <c r="CA22" s="4">
        <v>0</v>
      </c>
      <c r="CB22" s="4">
        <v>0</v>
      </c>
      <c r="CC22" s="4">
        <v>0</v>
      </c>
      <c r="CD22" s="4">
        <v>0</v>
      </c>
      <c r="CE22" s="4">
        <v>0</v>
      </c>
      <c r="CF22" s="4">
        <v>0</v>
      </c>
      <c r="CG22" s="4">
        <v>0</v>
      </c>
      <c r="CH22" s="4">
        <v>0</v>
      </c>
      <c r="CI22" s="4">
        <v>0</v>
      </c>
      <c r="CJ22" s="4">
        <v>0</v>
      </c>
      <c r="CK22" s="4">
        <v>0</v>
      </c>
      <c r="CL22" s="4">
        <v>0</v>
      </c>
      <c r="CM22" s="4">
        <v>0</v>
      </c>
      <c r="CN22" s="4">
        <v>0</v>
      </c>
      <c r="CO22" s="4">
        <v>0</v>
      </c>
      <c r="CP22" s="4">
        <v>0</v>
      </c>
      <c r="CQ22" s="4">
        <v>0</v>
      </c>
      <c r="CR22" s="4">
        <v>0</v>
      </c>
      <c r="CS22" s="4">
        <v>0</v>
      </c>
      <c r="CT22" s="4">
        <v>0</v>
      </c>
      <c r="CU22" s="4">
        <v>0</v>
      </c>
      <c r="CV22" s="4">
        <v>0</v>
      </c>
      <c r="CW22" s="4">
        <v>0</v>
      </c>
      <c r="CX22" s="4">
        <v>0</v>
      </c>
      <c r="CY22" s="4">
        <v>0</v>
      </c>
      <c r="CZ22" s="4">
        <v>0</v>
      </c>
      <c r="DA22" s="4">
        <v>0</v>
      </c>
      <c r="DB22" s="4">
        <v>0</v>
      </c>
      <c r="DC22" s="4">
        <v>0</v>
      </c>
      <c r="DD22" s="4">
        <v>0</v>
      </c>
      <c r="DE22" s="4">
        <v>0</v>
      </c>
      <c r="DF22" s="4">
        <v>0</v>
      </c>
      <c r="DG22" s="4">
        <v>0</v>
      </c>
      <c r="DH22" s="4">
        <v>0</v>
      </c>
      <c r="DI22" s="4">
        <v>0</v>
      </c>
      <c r="DJ22" s="4">
        <v>0</v>
      </c>
      <c r="DK22" s="4">
        <v>0</v>
      </c>
      <c r="DL22" s="4">
        <v>0</v>
      </c>
      <c r="DM22" s="4">
        <v>0</v>
      </c>
      <c r="DN22" s="4">
        <v>0</v>
      </c>
      <c r="DO22" s="4">
        <v>0</v>
      </c>
      <c r="DP22" s="4">
        <v>0</v>
      </c>
      <c r="DQ22" s="4">
        <v>0</v>
      </c>
      <c r="DR22" s="4">
        <v>0</v>
      </c>
      <c r="DS22" s="4">
        <v>0</v>
      </c>
      <c r="DT22" s="4">
        <v>0</v>
      </c>
      <c r="DU22" s="4">
        <v>0</v>
      </c>
      <c r="DV22" s="4">
        <v>0</v>
      </c>
      <c r="DW22" s="4">
        <v>0</v>
      </c>
      <c r="DX22" s="4">
        <v>0</v>
      </c>
      <c r="DY22" s="4">
        <v>0</v>
      </c>
      <c r="DZ22" s="4">
        <v>0</v>
      </c>
      <c r="EA22" s="4">
        <v>0</v>
      </c>
      <c r="EB22" s="4">
        <v>0</v>
      </c>
      <c r="EC22" s="4">
        <v>0</v>
      </c>
      <c r="ED22" s="4">
        <v>0</v>
      </c>
      <c r="EE22" s="4">
        <v>0</v>
      </c>
      <c r="EF22" s="4">
        <v>0</v>
      </c>
      <c r="EG22" s="4">
        <v>0</v>
      </c>
      <c r="EH22" s="4">
        <v>0</v>
      </c>
      <c r="EI22" s="4">
        <v>0</v>
      </c>
      <c r="EJ22" s="4">
        <v>0</v>
      </c>
      <c r="EK22" s="4">
        <v>0</v>
      </c>
      <c r="EL22" s="4">
        <v>0</v>
      </c>
      <c r="EM22" s="4">
        <v>0</v>
      </c>
      <c r="EN22" s="4">
        <v>0</v>
      </c>
      <c r="EO22" s="4">
        <v>0</v>
      </c>
      <c r="EP22" s="4">
        <v>0</v>
      </c>
      <c r="EQ22" s="4">
        <v>0</v>
      </c>
      <c r="ER22" s="4">
        <v>0</v>
      </c>
      <c r="ES22" s="4">
        <v>0</v>
      </c>
      <c r="ET22" s="4">
        <v>0</v>
      </c>
      <c r="EU22" s="4">
        <v>0</v>
      </c>
      <c r="EV22" s="4">
        <v>0</v>
      </c>
      <c r="EW22" s="4">
        <v>0</v>
      </c>
    </row>
    <row r="23" spans="2:153" x14ac:dyDescent="0.35">
      <c r="B23" s="12"/>
      <c r="C23" s="12"/>
      <c r="D23" s="12"/>
      <c r="E23" s="13" t="s">
        <v>192</v>
      </c>
      <c r="F23" s="6">
        <v>253841.84223870508</v>
      </c>
      <c r="G23" s="4">
        <v>0.87219470495332663</v>
      </c>
      <c r="H23" s="4">
        <v>1970.3131557347665</v>
      </c>
      <c r="I23" s="4">
        <v>10085.642723241572</v>
      </c>
      <c r="J23" s="4">
        <v>1590.254770706309</v>
      </c>
      <c r="K23" s="4">
        <v>15.53209045295112</v>
      </c>
      <c r="L23" s="4">
        <v>3334.3935784378359</v>
      </c>
      <c r="M23" s="4">
        <v>31.887794007764313</v>
      </c>
      <c r="N23" s="4">
        <v>966.33925528267469</v>
      </c>
      <c r="O23" s="4">
        <v>-29.180723067298818</v>
      </c>
      <c r="P23" s="4">
        <v>256.74744465704123</v>
      </c>
      <c r="Q23" s="4">
        <v>10233.357707795782</v>
      </c>
      <c r="R23" s="4">
        <v>91.441971516373656</v>
      </c>
      <c r="S23" s="4">
        <v>16967.162254563114</v>
      </c>
      <c r="T23" s="4">
        <v>1613.6761141978589</v>
      </c>
      <c r="U23" s="4">
        <v>1654.914851639016</v>
      </c>
      <c r="V23" s="4">
        <v>1.7024745956340945</v>
      </c>
      <c r="W23" s="4">
        <v>31.845653324770048</v>
      </c>
      <c r="X23" s="4">
        <v>-18.189059524714907</v>
      </c>
      <c r="Y23" s="4">
        <v>3392.7636695620022</v>
      </c>
      <c r="Z23" s="4">
        <v>666.86327940091405</v>
      </c>
      <c r="AA23" s="4">
        <v>1959.2729124898785</v>
      </c>
      <c r="AB23" s="4">
        <v>9.1597913631245582</v>
      </c>
      <c r="AC23" s="4">
        <v>1123.3126149926559</v>
      </c>
      <c r="AD23" s="4">
        <v>562.309060067887</v>
      </c>
      <c r="AE23" s="4">
        <v>342.30415929092408</v>
      </c>
      <c r="AF23" s="4">
        <v>4848.6751350811892</v>
      </c>
      <c r="AG23" s="4">
        <v>2341.4420582204198</v>
      </c>
      <c r="AH23" s="4">
        <v>7.521304132115695</v>
      </c>
      <c r="AI23" s="4">
        <v>6286.5813811057242</v>
      </c>
      <c r="AJ23" s="4">
        <v>7019.3042362119004</v>
      </c>
      <c r="AK23" s="4">
        <v>1306.4834133857591</v>
      </c>
      <c r="AL23" s="4">
        <v>69.08375446618362</v>
      </c>
      <c r="AM23" s="4">
        <v>1.7456556782309678</v>
      </c>
      <c r="AN23" s="4">
        <v>14.296396390156586</v>
      </c>
      <c r="AO23" s="4">
        <v>166.50194821055734</v>
      </c>
      <c r="AP23" s="4">
        <v>236.53875627482378</v>
      </c>
      <c r="AQ23" s="4">
        <v>366.44143119648567</v>
      </c>
      <c r="AR23" s="4">
        <v>1632.2884169720317</v>
      </c>
      <c r="AS23" s="4">
        <v>86.627824465503565</v>
      </c>
      <c r="AT23" s="4">
        <v>15661.955299508982</v>
      </c>
      <c r="AU23" s="4">
        <v>147.21106144509483</v>
      </c>
      <c r="AV23" s="4">
        <v>3027.3002140153008</v>
      </c>
      <c r="AW23" s="4">
        <v>205.96838665890493</v>
      </c>
      <c r="AX23" s="4">
        <v>664.35122075774279</v>
      </c>
      <c r="AY23" s="4">
        <v>2369.0821220926905</v>
      </c>
      <c r="AZ23" s="4">
        <v>-97.108868119643404</v>
      </c>
      <c r="BA23" s="4">
        <v>26.490161574664572</v>
      </c>
      <c r="BB23" s="4">
        <v>2296.7218214739646</v>
      </c>
      <c r="BC23" s="4">
        <v>2.641642063907331</v>
      </c>
      <c r="BD23" s="4">
        <v>4383.149520712057</v>
      </c>
      <c r="BE23" s="4">
        <v>-22.605525031537113</v>
      </c>
      <c r="BF23" s="4">
        <v>38.5811784358349</v>
      </c>
      <c r="BG23" s="4">
        <v>238.89810278029609</v>
      </c>
      <c r="BH23" s="4">
        <v>7081.0020338702971</v>
      </c>
      <c r="BI23" s="4">
        <v>39.349078704603031</v>
      </c>
      <c r="BJ23" s="4">
        <v>9.2591857406382054</v>
      </c>
      <c r="BK23" s="4">
        <v>5.5773381245647728</v>
      </c>
      <c r="BL23" s="4">
        <v>12.126842305587955</v>
      </c>
      <c r="BM23" s="4">
        <v>29.378247052814416</v>
      </c>
      <c r="BN23" s="4">
        <v>1483.1218622150466</v>
      </c>
      <c r="BO23" s="4">
        <v>0</v>
      </c>
      <c r="BP23" s="4">
        <v>0</v>
      </c>
      <c r="BQ23" s="4">
        <v>2190.9411864598619</v>
      </c>
      <c r="BR23" s="4">
        <v>4618.4455654657104</v>
      </c>
      <c r="BS23" s="4">
        <v>1449.1218721801456</v>
      </c>
      <c r="BT23" s="4">
        <v>2300.0854685980348</v>
      </c>
      <c r="BU23" s="4">
        <v>-352.30998851628664</v>
      </c>
      <c r="BV23" s="4">
        <v>0.14167143072294186</v>
      </c>
      <c r="BW23" s="4">
        <v>-206.98527240024092</v>
      </c>
      <c r="BX23" s="4">
        <v>1.040774668862807</v>
      </c>
      <c r="BY23" s="4">
        <v>11.578849927193245</v>
      </c>
      <c r="BZ23" s="4">
        <v>-161.08844772371165</v>
      </c>
      <c r="CA23" s="4">
        <v>88.253626615067162</v>
      </c>
      <c r="CB23" s="4">
        <v>-351.08971033171287</v>
      </c>
      <c r="CC23" s="4">
        <v>105.72916379910038</v>
      </c>
      <c r="CD23" s="4">
        <v>149.20426379316424</v>
      </c>
      <c r="CE23" s="4">
        <v>971.02765091887829</v>
      </c>
      <c r="CF23" s="4">
        <v>12.110815722486331</v>
      </c>
      <c r="CG23" s="4">
        <v>1.0495968</v>
      </c>
      <c r="CH23" s="4">
        <v>4.0953018000000005</v>
      </c>
      <c r="CI23" s="4">
        <v>669.85696618137115</v>
      </c>
      <c r="CJ23" s="4">
        <v>733.17331553770134</v>
      </c>
      <c r="CK23" s="4">
        <v>1932.0559830589257</v>
      </c>
      <c r="CL23" s="4">
        <v>563.50498561640904</v>
      </c>
      <c r="CM23" s="4">
        <v>540.12759294279704</v>
      </c>
      <c r="CN23" s="4">
        <v>281.74415419690843</v>
      </c>
      <c r="CO23" s="4">
        <v>8.2553326401592244</v>
      </c>
      <c r="CP23" s="4">
        <v>0</v>
      </c>
      <c r="CQ23" s="4">
        <v>1440.7930724238129</v>
      </c>
      <c r="CR23" s="4">
        <v>578.88824523307755</v>
      </c>
      <c r="CS23" s="4">
        <v>773.62683271019159</v>
      </c>
      <c r="CT23" s="4">
        <v>2172.223028386295</v>
      </c>
      <c r="CU23" s="4">
        <v>75.719604555974797</v>
      </c>
      <c r="CV23" s="4">
        <v>458.57655686922203</v>
      </c>
      <c r="CW23" s="4">
        <v>418.58531272579472</v>
      </c>
      <c r="CX23" s="4">
        <v>281.5471556396397</v>
      </c>
      <c r="CY23" s="4">
        <v>424.99705702933869</v>
      </c>
      <c r="CZ23" s="4">
        <v>68.137561352854931</v>
      </c>
      <c r="DA23" s="4">
        <v>2901.3110038083259</v>
      </c>
      <c r="DB23" s="4">
        <v>255.78958380922558</v>
      </c>
      <c r="DC23" s="4">
        <v>248.62016991357544</v>
      </c>
      <c r="DD23" s="4">
        <v>142.03958425734962</v>
      </c>
      <c r="DE23" s="4">
        <v>299.21397258315261</v>
      </c>
      <c r="DF23" s="4">
        <v>211.65332204532095</v>
      </c>
      <c r="DG23" s="4">
        <v>118.51155104991344</v>
      </c>
      <c r="DH23" s="4">
        <v>691.8719907315442</v>
      </c>
      <c r="DI23" s="4">
        <v>448.10232661520973</v>
      </c>
      <c r="DJ23" s="4">
        <v>-8.4544411683056921</v>
      </c>
      <c r="DK23" s="4">
        <v>1.5730449710379331</v>
      </c>
      <c r="DL23" s="4">
        <v>0</v>
      </c>
      <c r="DM23" s="4">
        <v>1323.9022245048143</v>
      </c>
      <c r="DN23" s="4">
        <v>202.58797236990162</v>
      </c>
      <c r="DO23" s="4">
        <v>111.83114062940825</v>
      </c>
      <c r="DP23" s="4">
        <v>686.74987645338638</v>
      </c>
      <c r="DQ23" s="4">
        <v>541.89733628533725</v>
      </c>
      <c r="DR23" s="4">
        <v>862.66507886609008</v>
      </c>
      <c r="DS23" s="4">
        <v>2619.235494957587</v>
      </c>
      <c r="DT23" s="4">
        <v>893.29653181644824</v>
      </c>
      <c r="DU23" s="4">
        <v>2009.8415236757289</v>
      </c>
      <c r="DV23" s="4">
        <v>1310.5138273768157</v>
      </c>
      <c r="DW23" s="4">
        <v>55.196589661277891</v>
      </c>
      <c r="DX23" s="4">
        <v>14.605479650303607</v>
      </c>
      <c r="DY23" s="4">
        <v>36.576005764980337</v>
      </c>
      <c r="DZ23" s="4">
        <v>6.6795587812866506</v>
      </c>
      <c r="EA23" s="4">
        <v>22.388745235711326</v>
      </c>
      <c r="EB23" s="4">
        <v>78.041617841988</v>
      </c>
      <c r="EC23" s="4">
        <v>16.090475251477297</v>
      </c>
      <c r="ED23" s="4">
        <v>6.2436650389024457</v>
      </c>
      <c r="EE23" s="4">
        <v>1466.1306037761958</v>
      </c>
      <c r="EF23" s="4">
        <v>2271.9359285980977</v>
      </c>
      <c r="EG23" s="4">
        <v>6465.8657886665633</v>
      </c>
      <c r="EH23" s="4">
        <v>22368.618139274495</v>
      </c>
      <c r="EI23" s="4">
        <v>448.99905307827521</v>
      </c>
      <c r="EJ23" s="4">
        <v>423.7110415191807</v>
      </c>
      <c r="EK23" s="4">
        <v>53.314447313596766</v>
      </c>
      <c r="EL23" s="4">
        <v>-78.231483065733315</v>
      </c>
      <c r="EM23" s="4">
        <v>28.776652394534302</v>
      </c>
      <c r="EN23" s="4">
        <v>1.9298083211988741</v>
      </c>
      <c r="EO23" s="4">
        <v>22496.889929126966</v>
      </c>
      <c r="EP23" s="4">
        <v>357.39109803328006</v>
      </c>
      <c r="EQ23" s="4">
        <v>245.55449406636927</v>
      </c>
      <c r="ER23" s="4">
        <v>20350.853854487948</v>
      </c>
      <c r="ES23" s="4">
        <v>1.9671747188570898</v>
      </c>
      <c r="ET23" s="4">
        <v>1773.5672477108292</v>
      </c>
      <c r="EU23" s="4">
        <v>15337.99032304693</v>
      </c>
      <c r="EV23" s="4">
        <v>429.47502718504222</v>
      </c>
      <c r="EW23" s="4">
        <v>2194.6803337601018</v>
      </c>
    </row>
    <row r="24" spans="2:153" x14ac:dyDescent="0.35">
      <c r="B24" s="12"/>
      <c r="C24" s="12"/>
      <c r="D24" s="12"/>
      <c r="E24" s="13" t="s">
        <v>191</v>
      </c>
      <c r="F24" s="6">
        <v>251816.48086591801</v>
      </c>
      <c r="G24" s="4">
        <v>0.87219470495332663</v>
      </c>
      <c r="H24" s="4">
        <v>1970.3131557347665</v>
      </c>
      <c r="I24" s="4">
        <v>10016.055911871572</v>
      </c>
      <c r="J24" s="4">
        <v>1566.264757706309</v>
      </c>
      <c r="K24" s="4">
        <v>15.53209045295112</v>
      </c>
      <c r="L24" s="4">
        <v>3334.3935784378359</v>
      </c>
      <c r="M24" s="4">
        <v>31.887794007764313</v>
      </c>
      <c r="N24" s="4">
        <v>966.33925528267469</v>
      </c>
      <c r="O24" s="4">
        <v>-29.180723067298818</v>
      </c>
      <c r="P24" s="4">
        <v>256.74744465704123</v>
      </c>
      <c r="Q24" s="4">
        <v>10233.357707795782</v>
      </c>
      <c r="R24" s="4">
        <v>91.441971516373641</v>
      </c>
      <c r="S24" s="4">
        <v>16967.162254563114</v>
      </c>
      <c r="T24" s="4">
        <v>1613.6761141978589</v>
      </c>
      <c r="U24" s="4">
        <v>1654.914851639016</v>
      </c>
      <c r="V24" s="4">
        <v>1.7024745956340945</v>
      </c>
      <c r="W24" s="4">
        <v>31.845653324770048</v>
      </c>
      <c r="X24" s="4">
        <v>-18.189059524714907</v>
      </c>
      <c r="Y24" s="4">
        <v>3422.225667172454</v>
      </c>
      <c r="Z24" s="4">
        <v>678.95539114123824</v>
      </c>
      <c r="AA24" s="4">
        <v>2024.3523487519801</v>
      </c>
      <c r="AB24" s="4">
        <v>9.1597913631245582</v>
      </c>
      <c r="AC24" s="4">
        <v>1120.7613271952605</v>
      </c>
      <c r="AD24" s="4">
        <v>577.35125159631843</v>
      </c>
      <c r="AE24" s="4">
        <v>342.30415929092408</v>
      </c>
      <c r="AF24" s="4">
        <v>4879.9669541458325</v>
      </c>
      <c r="AG24" s="4">
        <v>2333.1279175300706</v>
      </c>
      <c r="AH24" s="4">
        <v>7.521304132115695</v>
      </c>
      <c r="AI24" s="4">
        <v>6289.3277055184435</v>
      </c>
      <c r="AJ24" s="4">
        <v>7030.5854668542333</v>
      </c>
      <c r="AK24" s="4">
        <v>1309.9844915211354</v>
      </c>
      <c r="AL24" s="4">
        <v>69.08375446618362</v>
      </c>
      <c r="AM24" s="4">
        <v>1.7456556782309678</v>
      </c>
      <c r="AN24" s="4">
        <v>14.296396390156586</v>
      </c>
      <c r="AO24" s="4">
        <v>168.48461866912649</v>
      </c>
      <c r="AP24" s="4">
        <v>235.9282148307056</v>
      </c>
      <c r="AQ24" s="4">
        <v>366.44143119648567</v>
      </c>
      <c r="AR24" s="4">
        <v>1632.2884169720317</v>
      </c>
      <c r="AS24" s="4">
        <v>89.004495686969776</v>
      </c>
      <c r="AT24" s="4">
        <v>15349.378363873171</v>
      </c>
      <c r="AU24" s="4">
        <v>147.9342799045007</v>
      </c>
      <c r="AV24" s="4">
        <v>3032.6156356904012</v>
      </c>
      <c r="AW24" s="4">
        <v>206.74415582745942</v>
      </c>
      <c r="AX24" s="4">
        <v>664.87946071384363</v>
      </c>
      <c r="AY24" s="4">
        <v>2369.0821220926905</v>
      </c>
      <c r="AZ24" s="4">
        <v>-97.108868119643404</v>
      </c>
      <c r="BA24" s="4">
        <v>26.490161574664572</v>
      </c>
      <c r="BB24" s="4">
        <v>2314.4352547625153</v>
      </c>
      <c r="BC24" s="4">
        <v>2.641642063907331</v>
      </c>
      <c r="BD24" s="4">
        <v>4355.005066140282</v>
      </c>
      <c r="BE24" s="4">
        <v>-22.605525031537113</v>
      </c>
      <c r="BF24" s="4">
        <v>38.5811784358349</v>
      </c>
      <c r="BG24" s="4">
        <v>238.89810278029609</v>
      </c>
      <c r="BH24" s="4">
        <v>7136.6593648422422</v>
      </c>
      <c r="BI24" s="4">
        <v>39.349078704603031</v>
      </c>
      <c r="BJ24" s="4">
        <v>9.2591857406382054</v>
      </c>
      <c r="BK24" s="4">
        <v>5.5773381245647728</v>
      </c>
      <c r="BL24" s="4">
        <v>12.126842305587955</v>
      </c>
      <c r="BM24" s="4">
        <v>29.378247052814416</v>
      </c>
      <c r="BN24" s="4">
        <v>1483.1218622150466</v>
      </c>
      <c r="BO24" s="4">
        <v>0</v>
      </c>
      <c r="BP24" s="4">
        <v>0</v>
      </c>
      <c r="BQ24" s="4">
        <v>2167.8933790676815</v>
      </c>
      <c r="BR24" s="4">
        <v>4637.2143547107289</v>
      </c>
      <c r="BS24" s="4">
        <v>1464.991656120244</v>
      </c>
      <c r="BT24" s="4">
        <v>2313.9904584164397</v>
      </c>
      <c r="BU24" s="4">
        <v>-352.30998851628664</v>
      </c>
      <c r="BV24" s="4">
        <v>0.14167143072294186</v>
      </c>
      <c r="BW24" s="4">
        <v>-206.98527240024092</v>
      </c>
      <c r="BX24" s="4">
        <v>1.040774668862807</v>
      </c>
      <c r="BY24" s="4">
        <v>11.578849927193245</v>
      </c>
      <c r="BZ24" s="4">
        <v>-161.08844772371165</v>
      </c>
      <c r="CA24" s="4">
        <v>88.253626615067162</v>
      </c>
      <c r="CB24" s="4">
        <v>-351.08971033171287</v>
      </c>
      <c r="CC24" s="4">
        <v>105.72916379910038</v>
      </c>
      <c r="CD24" s="4">
        <v>149.20426379316424</v>
      </c>
      <c r="CE24" s="4">
        <v>972.43226698707122</v>
      </c>
      <c r="CF24" s="4">
        <v>12.110815722486331</v>
      </c>
      <c r="CG24" s="4">
        <v>1.0495968</v>
      </c>
      <c r="CH24" s="4">
        <v>4.0953018000000005</v>
      </c>
      <c r="CI24" s="4">
        <v>680.11330393637036</v>
      </c>
      <c r="CJ24" s="4">
        <v>742.97652106153362</v>
      </c>
      <c r="CK24" s="4">
        <v>1960.8102753218809</v>
      </c>
      <c r="CL24" s="4">
        <v>566.64606284246986</v>
      </c>
      <c r="CM24" s="4">
        <v>551.9374365007925</v>
      </c>
      <c r="CN24" s="4">
        <v>284.4508149711412</v>
      </c>
      <c r="CO24" s="4">
        <v>8.8456413780318552</v>
      </c>
      <c r="CP24" s="4">
        <v>0</v>
      </c>
      <c r="CQ24" s="4">
        <v>1452.536407864008</v>
      </c>
      <c r="CR24" s="4">
        <v>586.33173011508472</v>
      </c>
      <c r="CS24" s="4">
        <v>782.03464268200753</v>
      </c>
      <c r="CT24" s="4">
        <v>2214.4050399590656</v>
      </c>
      <c r="CU24" s="4">
        <v>91.350308923373561</v>
      </c>
      <c r="CV24" s="4">
        <v>470.35219153713308</v>
      </c>
      <c r="CW24" s="4">
        <v>421.59732542974126</v>
      </c>
      <c r="CX24" s="4">
        <v>284.74201352813242</v>
      </c>
      <c r="CY24" s="4">
        <v>426.14741007430786</v>
      </c>
      <c r="CZ24" s="4">
        <v>69.472511466366583</v>
      </c>
      <c r="DA24" s="4">
        <v>2929.8944420430325</v>
      </c>
      <c r="DB24" s="4">
        <v>259.409924321137</v>
      </c>
      <c r="DC24" s="4">
        <v>254.79055561757073</v>
      </c>
      <c r="DD24" s="4">
        <v>143.86145293624199</v>
      </c>
      <c r="DE24" s="4">
        <v>303.2998883632664</v>
      </c>
      <c r="DF24" s="4">
        <v>214.70383085857262</v>
      </c>
      <c r="DG24" s="4">
        <v>120.2134900303864</v>
      </c>
      <c r="DH24" s="4">
        <v>702.02167393393427</v>
      </c>
      <c r="DI24" s="4">
        <v>450.31622921074091</v>
      </c>
      <c r="DJ24" s="4">
        <v>-8.4544411683056921</v>
      </c>
      <c r="DK24" s="4">
        <v>1.5730449710379331</v>
      </c>
      <c r="DL24" s="4">
        <v>0</v>
      </c>
      <c r="DM24" s="4">
        <v>1357.054267899219</v>
      </c>
      <c r="DN24" s="4">
        <v>208.52569844876118</v>
      </c>
      <c r="DO24" s="4">
        <v>115.32781766291006</v>
      </c>
      <c r="DP24" s="4">
        <v>698.93128807822995</v>
      </c>
      <c r="DQ24" s="4">
        <v>576.14565826806847</v>
      </c>
      <c r="DR24" s="4">
        <v>850.21191678245805</v>
      </c>
      <c r="DS24" s="4">
        <v>2617.9645717306007</v>
      </c>
      <c r="DT24" s="4">
        <v>895.44897157976311</v>
      </c>
      <c r="DU24" s="4">
        <v>2011.5347404427328</v>
      </c>
      <c r="DV24" s="4">
        <v>1311.801049222724</v>
      </c>
      <c r="DW24" s="4">
        <v>55.196589661277891</v>
      </c>
      <c r="DX24" s="4">
        <v>14.605479650303607</v>
      </c>
      <c r="DY24" s="4">
        <v>36.576005764980337</v>
      </c>
      <c r="DZ24" s="4">
        <v>6.6795587812866506</v>
      </c>
      <c r="EA24" s="4">
        <v>22.388745235711326</v>
      </c>
      <c r="EB24" s="4">
        <v>78.041617841988</v>
      </c>
      <c r="EC24" s="4">
        <v>16.090475251477297</v>
      </c>
      <c r="ED24" s="4">
        <v>6.2436650389024457</v>
      </c>
      <c r="EE24" s="4">
        <v>1466.6783064216274</v>
      </c>
      <c r="EF24" s="4">
        <v>2272.2636069265818</v>
      </c>
      <c r="EG24" s="4">
        <v>6469.1353398303836</v>
      </c>
      <c r="EH24" s="4">
        <v>20516.435463533169</v>
      </c>
      <c r="EI24" s="4">
        <v>448.99905307827521</v>
      </c>
      <c r="EJ24" s="4">
        <v>423.7110415191807</v>
      </c>
      <c r="EK24" s="4">
        <v>53.314447313596766</v>
      </c>
      <c r="EL24" s="4">
        <v>-78.231483065733315</v>
      </c>
      <c r="EM24" s="4">
        <v>28.776652394534302</v>
      </c>
      <c r="EN24" s="4">
        <v>1.9298083211988741</v>
      </c>
      <c r="EO24" s="4">
        <v>22429.259746821419</v>
      </c>
      <c r="EP24" s="4">
        <v>357.39109803328006</v>
      </c>
      <c r="EQ24" s="4">
        <v>245.55449406636927</v>
      </c>
      <c r="ER24" s="4">
        <v>20037.871236295457</v>
      </c>
      <c r="ES24" s="4">
        <v>1.9671747188570898</v>
      </c>
      <c r="ET24" s="4">
        <v>1776.5433968681164</v>
      </c>
      <c r="EU24" s="4">
        <v>15381.682603317769</v>
      </c>
      <c r="EV24" s="4">
        <v>433.50052936291905</v>
      </c>
      <c r="EW24" s="4">
        <v>2195.8206055305195</v>
      </c>
    </row>
    <row r="26" spans="2:153" x14ac:dyDescent="0.35">
      <c r="B26" s="5" t="s">
        <v>207</v>
      </c>
      <c r="F26" s="48">
        <f>SUM(F8:F22)</f>
        <v>244134.44825622524</v>
      </c>
      <c r="G26" s="48">
        <f>+F26-F8-F9-F11-F13-F14</f>
        <v>7615.5634962766699</v>
      </c>
    </row>
    <row r="28" spans="2:153" x14ac:dyDescent="0.35">
      <c r="B28" s="15" t="s">
        <v>112</v>
      </c>
      <c r="C28" s="16" t="s">
        <v>113</v>
      </c>
      <c r="D28" s="17" t="s">
        <v>114</v>
      </c>
      <c r="E28" s="1" t="s">
        <v>2</v>
      </c>
      <c r="F28" s="2" t="s">
        <v>206</v>
      </c>
      <c r="G28" s="2" t="s">
        <v>203</v>
      </c>
    </row>
    <row r="29" spans="2:153" x14ac:dyDescent="0.35">
      <c r="B29" s="10">
        <v>1</v>
      </c>
      <c r="C29" s="10" t="s">
        <v>167</v>
      </c>
      <c r="D29" s="10" t="s">
        <v>168</v>
      </c>
      <c r="E29" s="3" t="s">
        <v>195</v>
      </c>
      <c r="F29" s="4">
        <v>1736.4822165561538</v>
      </c>
      <c r="G29" s="4">
        <v>1736.4822165561538</v>
      </c>
    </row>
    <row r="30" spans="2:153" x14ac:dyDescent="0.35">
      <c r="B30" s="10">
        <v>1</v>
      </c>
      <c r="C30" s="10" t="s">
        <v>167</v>
      </c>
      <c r="D30" s="10" t="s">
        <v>168</v>
      </c>
      <c r="E30" s="3" t="s">
        <v>196</v>
      </c>
      <c r="F30" s="4">
        <v>2120.6170915547868</v>
      </c>
      <c r="G30" s="4">
        <v>2120.6170915547868</v>
      </c>
    </row>
    <row r="31" spans="2:153" x14ac:dyDescent="0.35">
      <c r="B31" s="10">
        <v>1</v>
      </c>
      <c r="C31" s="10" t="s">
        <v>167</v>
      </c>
      <c r="D31" s="10" t="s">
        <v>168</v>
      </c>
      <c r="E31" s="3" t="s">
        <v>197</v>
      </c>
      <c r="F31" s="4">
        <v>0</v>
      </c>
      <c r="G31" s="4">
        <v>0</v>
      </c>
    </row>
    <row r="32" spans="2:153" x14ac:dyDescent="0.35">
      <c r="B32" s="10">
        <v>1</v>
      </c>
      <c r="C32" s="10" t="s">
        <v>167</v>
      </c>
      <c r="D32" s="10" t="s">
        <v>168</v>
      </c>
      <c r="E32" s="3" t="s">
        <v>198</v>
      </c>
      <c r="F32" s="4">
        <v>18.080351320000002</v>
      </c>
      <c r="G32" s="4">
        <v>18.080351320000002</v>
      </c>
    </row>
    <row r="33" spans="2:7" x14ac:dyDescent="0.35">
      <c r="B33" s="10">
        <v>1</v>
      </c>
      <c r="C33" s="10" t="s">
        <v>167</v>
      </c>
      <c r="D33" s="10" t="s">
        <v>168</v>
      </c>
      <c r="E33" s="3" t="s">
        <v>199</v>
      </c>
      <c r="F33" s="4">
        <v>0</v>
      </c>
      <c r="G33" s="4">
        <v>0</v>
      </c>
    </row>
    <row r="34" spans="2:7" x14ac:dyDescent="0.35">
      <c r="B34" s="10">
        <v>2</v>
      </c>
      <c r="C34" s="10" t="s">
        <v>167</v>
      </c>
      <c r="D34" s="10" t="s">
        <v>168</v>
      </c>
      <c r="E34" s="3" t="s">
        <v>200</v>
      </c>
      <c r="F34" s="4">
        <v>3667.1892511163815</v>
      </c>
      <c r="G34" s="4">
        <v>5692.5506239032366</v>
      </c>
    </row>
    <row r="35" spans="2:7" x14ac:dyDescent="0.35">
      <c r="B35" s="10">
        <v>2</v>
      </c>
      <c r="C35" s="10" t="s">
        <v>167</v>
      </c>
      <c r="D35" s="10" t="s">
        <v>168</v>
      </c>
      <c r="E35" s="3" t="s">
        <v>201</v>
      </c>
      <c r="F35" s="4">
        <v>139.66369914556904</v>
      </c>
      <c r="G35" s="4">
        <v>139.66369914556904</v>
      </c>
    </row>
    <row r="36" spans="2:7" x14ac:dyDescent="0.35">
      <c r="B36" s="10">
        <v>2</v>
      </c>
      <c r="C36" s="10" t="s">
        <v>167</v>
      </c>
      <c r="D36" s="10" t="s">
        <v>168</v>
      </c>
      <c r="E36" s="3" t="s">
        <v>202</v>
      </c>
      <c r="F36" s="4">
        <v>0</v>
      </c>
      <c r="G36" s="4">
        <v>0</v>
      </c>
    </row>
    <row r="37" spans="2:7" x14ac:dyDescent="0.35">
      <c r="B37" s="10">
        <v>2</v>
      </c>
      <c r="C37" s="10" t="s">
        <v>167</v>
      </c>
      <c r="D37" s="10" t="s">
        <v>168</v>
      </c>
      <c r="E37" s="3" t="s">
        <v>199</v>
      </c>
      <c r="F37" s="4">
        <v>0</v>
      </c>
      <c r="G37" s="4">
        <v>0</v>
      </c>
    </row>
    <row r="38" spans="2:7" x14ac:dyDescent="0.35">
      <c r="B38" s="11">
        <v>3</v>
      </c>
      <c r="C38" s="11">
        <v>1</v>
      </c>
      <c r="D38" s="11" t="s">
        <v>172</v>
      </c>
      <c r="E38" s="3" t="s">
        <v>173</v>
      </c>
      <c r="F38" s="4">
        <v>176935.40917685238</v>
      </c>
      <c r="G38" s="4">
        <v>176935.40917685238</v>
      </c>
    </row>
    <row r="39" spans="2:7" x14ac:dyDescent="0.35">
      <c r="B39" s="11">
        <v>3</v>
      </c>
      <c r="C39" s="11">
        <v>2</v>
      </c>
      <c r="D39" s="11" t="s">
        <v>172</v>
      </c>
      <c r="E39" s="3" t="s">
        <v>174</v>
      </c>
      <c r="F39" s="4">
        <v>6973.2078257782478</v>
      </c>
      <c r="G39" s="4">
        <v>6973.2078257782478</v>
      </c>
    </row>
    <row r="40" spans="2:7" ht="29" x14ac:dyDescent="0.35">
      <c r="B40" s="11">
        <v>3</v>
      </c>
      <c r="C40" s="11">
        <v>3</v>
      </c>
      <c r="D40" s="11" t="s">
        <v>172</v>
      </c>
      <c r="E40" s="3" t="s">
        <v>175</v>
      </c>
      <c r="F40" s="4">
        <v>2303.6219620321554</v>
      </c>
      <c r="G40" s="4">
        <v>2303.6219620321554</v>
      </c>
    </row>
    <row r="41" spans="2:7" ht="29" x14ac:dyDescent="0.35">
      <c r="B41" s="11">
        <v>3</v>
      </c>
      <c r="C41" s="11">
        <v>4</v>
      </c>
      <c r="D41" s="11" t="s">
        <v>172</v>
      </c>
      <c r="E41" s="3" t="s">
        <v>176</v>
      </c>
      <c r="F41" s="4">
        <v>38920.499452408032</v>
      </c>
      <c r="G41" s="4">
        <v>38920.499452408032</v>
      </c>
    </row>
    <row r="42" spans="2:7" ht="29" x14ac:dyDescent="0.35">
      <c r="B42" s="11">
        <v>3</v>
      </c>
      <c r="C42" s="11">
        <v>5</v>
      </c>
      <c r="D42" s="11" t="s">
        <v>172</v>
      </c>
      <c r="E42" s="3" t="s">
        <v>177</v>
      </c>
      <c r="F42" s="4">
        <v>625.92364758730685</v>
      </c>
      <c r="G42" s="4">
        <v>625.92364758730685</v>
      </c>
    </row>
    <row r="43" spans="2:7" x14ac:dyDescent="0.35">
      <c r="B43" s="11">
        <v>3</v>
      </c>
      <c r="C43" s="11">
        <v>6</v>
      </c>
      <c r="D43" s="11" t="s">
        <v>172</v>
      </c>
      <c r="E43" s="3" t="s">
        <v>178</v>
      </c>
      <c r="F43" s="4">
        <v>6734.7391153093195</v>
      </c>
      <c r="G43" s="4">
        <v>6734.7391153093195</v>
      </c>
    </row>
    <row r="44" spans="2:7" x14ac:dyDescent="0.35">
      <c r="B44" s="11">
        <v>3</v>
      </c>
      <c r="C44" s="11">
        <v>7</v>
      </c>
      <c r="D44" s="11" t="s">
        <v>172</v>
      </c>
      <c r="E44" s="3" t="s">
        <v>179</v>
      </c>
      <c r="F44" s="4">
        <v>6955.0291896007438</v>
      </c>
      <c r="G44" s="4">
        <v>6955.0291896007438</v>
      </c>
    </row>
    <row r="45" spans="2:7" x14ac:dyDescent="0.35">
      <c r="B45" s="11">
        <v>3</v>
      </c>
      <c r="C45" s="11">
        <v>8</v>
      </c>
      <c r="D45" s="11" t="s">
        <v>172</v>
      </c>
      <c r="E45" s="3" t="s">
        <v>180</v>
      </c>
      <c r="F45" s="4">
        <v>2922.661197208477</v>
      </c>
      <c r="G45" s="4">
        <v>2922.661197208477</v>
      </c>
    </row>
    <row r="46" spans="2:7" ht="29" x14ac:dyDescent="0.35">
      <c r="B46" s="11">
        <v>3</v>
      </c>
      <c r="C46" s="11">
        <v>9</v>
      </c>
      <c r="D46" s="11" t="s">
        <v>181</v>
      </c>
      <c r="E46" s="3" t="s">
        <v>182</v>
      </c>
      <c r="F46" s="4">
        <v>0</v>
      </c>
      <c r="G46" s="4">
        <v>0</v>
      </c>
    </row>
    <row r="47" spans="2:7" x14ac:dyDescent="0.35">
      <c r="B47" s="11">
        <v>3</v>
      </c>
      <c r="C47" s="11">
        <v>10</v>
      </c>
      <c r="D47" s="11" t="s">
        <v>181</v>
      </c>
      <c r="E47" s="3" t="s">
        <v>183</v>
      </c>
      <c r="F47" s="4">
        <v>0</v>
      </c>
      <c r="G47" s="4">
        <v>0</v>
      </c>
    </row>
    <row r="48" spans="2:7" x14ac:dyDescent="0.35">
      <c r="B48" s="11">
        <v>3</v>
      </c>
      <c r="C48" s="11">
        <v>11</v>
      </c>
      <c r="D48" s="11" t="s">
        <v>181</v>
      </c>
      <c r="E48" s="3" t="s">
        <v>184</v>
      </c>
      <c r="F48" s="4">
        <v>1722.2300450773314</v>
      </c>
      <c r="G48" s="4">
        <v>1722.2300450773314</v>
      </c>
    </row>
    <row r="49" spans="2:7" ht="29" x14ac:dyDescent="0.35">
      <c r="B49" s="11">
        <v>3</v>
      </c>
      <c r="C49" s="11">
        <v>12</v>
      </c>
      <c r="D49" s="11" t="s">
        <v>181</v>
      </c>
      <c r="E49" s="3" t="s">
        <v>185</v>
      </c>
      <c r="F49" s="4">
        <v>41.126644371441174</v>
      </c>
      <c r="G49" s="4">
        <v>41.126644371441174</v>
      </c>
    </row>
    <row r="50" spans="2:7" x14ac:dyDescent="0.35">
      <c r="B50" s="11">
        <v>3</v>
      </c>
      <c r="C50" s="11">
        <v>13</v>
      </c>
      <c r="D50" s="11" t="s">
        <v>181</v>
      </c>
      <c r="E50" s="3" t="s">
        <v>186</v>
      </c>
      <c r="F50" s="4">
        <v>0</v>
      </c>
      <c r="G50" s="4">
        <v>0</v>
      </c>
    </row>
    <row r="51" spans="2:7" x14ac:dyDescent="0.35">
      <c r="B51" s="11">
        <v>3</v>
      </c>
      <c r="C51" s="11">
        <v>14</v>
      </c>
      <c r="D51" s="11" t="s">
        <v>181</v>
      </c>
      <c r="E51" s="3" t="s">
        <v>187</v>
      </c>
      <c r="F51" s="4">
        <v>0</v>
      </c>
      <c r="G51" s="4">
        <v>0</v>
      </c>
    </row>
    <row r="52" spans="2:7" x14ac:dyDescent="0.35">
      <c r="B52" s="11">
        <v>3</v>
      </c>
      <c r="C52" s="11">
        <v>15</v>
      </c>
      <c r="D52" s="11" t="s">
        <v>181</v>
      </c>
      <c r="E52" s="3" t="s">
        <v>188</v>
      </c>
      <c r="F52" s="4">
        <v>0</v>
      </c>
      <c r="G52" s="4">
        <v>0</v>
      </c>
    </row>
    <row r="53" spans="2:7" x14ac:dyDescent="0.35">
      <c r="B53" s="49" t="s">
        <v>111</v>
      </c>
      <c r="C53" s="50"/>
      <c r="D53" s="50"/>
      <c r="E53" s="51"/>
      <c r="F53" s="6">
        <v>251816.48086591833</v>
      </c>
      <c r="G53" s="6">
        <v>253841.8422387052</v>
      </c>
    </row>
  </sheetData>
  <mergeCells count="1">
    <mergeCell ref="B53:E5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F8477-69A0-4FBF-8A92-1318558E8666}">
  <sheetPr filterMode="1"/>
  <dimension ref="A1:X148"/>
  <sheetViews>
    <sheetView topLeftCell="B1" workbookViewId="0">
      <selection activeCell="D193" sqref="D193"/>
    </sheetView>
  </sheetViews>
  <sheetFormatPr defaultRowHeight="14.5" x14ac:dyDescent="0.35"/>
  <cols>
    <col min="1" max="1" width="20.453125" bestFit="1" customWidth="1"/>
    <col min="2" max="2" width="34.1796875" bestFit="1" customWidth="1"/>
    <col min="3" max="4" width="34.1796875" customWidth="1"/>
  </cols>
  <sheetData>
    <row r="1" spans="1:24" ht="101.5" x14ac:dyDescent="0.35">
      <c r="A1" s="7" t="s">
        <v>2</v>
      </c>
      <c r="B1" s="7" t="s">
        <v>926</v>
      </c>
      <c r="C1" s="7" t="s">
        <v>925</v>
      </c>
      <c r="D1" s="7" t="s">
        <v>924</v>
      </c>
      <c r="E1" s="3" t="s">
        <v>169</v>
      </c>
      <c r="F1" s="3" t="s">
        <v>170</v>
      </c>
      <c r="G1" s="3" t="s">
        <v>171</v>
      </c>
      <c r="H1" s="3" t="s">
        <v>927</v>
      </c>
      <c r="I1" s="3" t="s">
        <v>928</v>
      </c>
      <c r="J1" s="3" t="s">
        <v>929</v>
      </c>
      <c r="K1" s="3" t="s">
        <v>930</v>
      </c>
      <c r="L1" s="3" t="s">
        <v>931</v>
      </c>
      <c r="M1" s="3" t="s">
        <v>932</v>
      </c>
      <c r="N1" s="3" t="s">
        <v>933</v>
      </c>
      <c r="O1" s="3" t="s">
        <v>934</v>
      </c>
      <c r="P1" s="3" t="s">
        <v>935</v>
      </c>
      <c r="Q1" s="3" t="s">
        <v>936</v>
      </c>
      <c r="R1" s="3" t="s">
        <v>937</v>
      </c>
      <c r="S1" s="3" t="s">
        <v>938</v>
      </c>
      <c r="T1" s="3" t="s">
        <v>939</v>
      </c>
      <c r="U1" s="3" t="s">
        <v>940</v>
      </c>
      <c r="V1" s="13" t="s">
        <v>941</v>
      </c>
      <c r="W1" s="13" t="s">
        <v>192</v>
      </c>
      <c r="X1" s="13" t="s">
        <v>191</v>
      </c>
    </row>
    <row r="2" spans="1:24" hidden="1" x14ac:dyDescent="0.35">
      <c r="A2" s="2" t="s">
        <v>42</v>
      </c>
      <c r="B2" s="2" t="str">
        <f>+VLOOKUP(A2,'HFM Codes'!$B$2:$C$432,2, FALSE)</f>
        <v>Windy City Wire</v>
      </c>
      <c r="C2" s="2" t="str">
        <f>+VLOOKUP(A2,'HFM Codes'!$B$2:$E$432,4,FALSE)</f>
        <v>Windy City Wire</v>
      </c>
      <c r="D2" s="2" t="str">
        <f>+VLOOKUP(A2,'HFM Codes'!$B$2:$D$432,3,FALSE)</f>
        <v>Windy City Wire</v>
      </c>
      <c r="E2" s="4">
        <v>584.04009430278654</v>
      </c>
      <c r="F2" s="4">
        <v>662.94928084637013</v>
      </c>
      <c r="G2" s="4">
        <v>2515.1319565876938</v>
      </c>
      <c r="H2" s="4">
        <v>15102.957071137625</v>
      </c>
      <c r="I2" s="4">
        <v>638.64135611395909</v>
      </c>
      <c r="J2" s="4">
        <v>667.61581375561593</v>
      </c>
      <c r="K2" s="4">
        <v>708.67011172294588</v>
      </c>
      <c r="L2" s="4">
        <v>224.61131024618942</v>
      </c>
      <c r="M2" s="4">
        <v>366.05318253021466</v>
      </c>
      <c r="N2" s="4">
        <v>850.34221085054492</v>
      </c>
      <c r="O2" s="4">
        <v>696.14387343446242</v>
      </c>
      <c r="P2" s="4">
        <v>0</v>
      </c>
      <c r="Q2" s="4">
        <v>0</v>
      </c>
      <c r="R2" s="4">
        <v>0</v>
      </c>
      <c r="S2" s="4">
        <v>14.411158592458907</v>
      </c>
      <c r="T2" s="4">
        <v>0</v>
      </c>
      <c r="U2" s="4">
        <v>0</v>
      </c>
      <c r="V2" s="4">
        <v>0</v>
      </c>
      <c r="W2" s="4">
        <v>22368.618139274495</v>
      </c>
      <c r="X2" s="4">
        <v>20516.435463533169</v>
      </c>
    </row>
    <row r="3" spans="1:24" hidden="1" x14ac:dyDescent="0.35">
      <c r="A3" s="2" t="s">
        <v>54</v>
      </c>
      <c r="B3" s="2" t="str">
        <f>+VLOOKUP(A3,'HFM Codes'!$B$2:$C$432,2, FALSE)</f>
        <v>Hercules US - Louisville</v>
      </c>
      <c r="C3" s="2" t="str">
        <f>+VLOOKUP(A3,'HFM Codes'!$B$2:$E$432,4,FALSE)</f>
        <v>North American Seals</v>
      </c>
      <c r="D3" s="2" t="str">
        <f>+VLOOKUP(A3,'HFM Codes'!$B$2:$D$432,3,FALSE)</f>
        <v>Aftermarket</v>
      </c>
      <c r="E3" s="4">
        <v>87.557771138254509</v>
      </c>
      <c r="F3" s="4">
        <v>0.16905364831052339</v>
      </c>
      <c r="G3" s="4">
        <v>313.15167184080366</v>
      </c>
      <c r="H3" s="4">
        <v>11780.201913678193</v>
      </c>
      <c r="I3" s="4">
        <v>193.02897714783941</v>
      </c>
      <c r="J3" s="4">
        <v>87.293074675954074</v>
      </c>
      <c r="K3" s="4">
        <v>6858.5141565086096</v>
      </c>
      <c r="L3" s="4">
        <v>4.0045947915052027</v>
      </c>
      <c r="M3" s="4">
        <v>444.58220114945675</v>
      </c>
      <c r="N3" s="4">
        <v>443.47951065896507</v>
      </c>
      <c r="O3" s="4">
        <v>132.42197889272731</v>
      </c>
      <c r="P3" s="4">
        <v>0</v>
      </c>
      <c r="Q3" s="4">
        <v>0</v>
      </c>
      <c r="R3" s="4">
        <v>0</v>
      </c>
      <c r="S3" s="4">
        <v>6.6180040056438081</v>
      </c>
      <c r="T3" s="4">
        <v>0</v>
      </c>
      <c r="U3" s="4">
        <v>0</v>
      </c>
      <c r="V3" s="4">
        <v>0</v>
      </c>
      <c r="W3" s="4">
        <v>20350.853854487948</v>
      </c>
      <c r="X3" s="4">
        <v>20037.871236295457</v>
      </c>
    </row>
    <row r="4" spans="1:24" hidden="1" x14ac:dyDescent="0.35">
      <c r="A4" s="2" t="s">
        <v>43</v>
      </c>
      <c r="B4" s="2" t="str">
        <f>+VLOOKUP(A4,'HFM Codes'!$B$2:$C$432,2, FALSE)</f>
        <v>FS Cables</v>
      </c>
      <c r="C4" s="2" t="str">
        <f>+VLOOKUP(A4,'HFM Codes'!$B$2:$E$432,4,FALSE)</f>
        <v>Controls</v>
      </c>
      <c r="D4" s="2" t="str">
        <f>+VLOOKUP(A4,'HFM Codes'!$B$2:$D$432,3,FALSE)</f>
        <v>Shoal group</v>
      </c>
      <c r="E4" s="4">
        <v>2.0692018999999999</v>
      </c>
      <c r="F4" s="4">
        <v>40.19686996001866</v>
      </c>
      <c r="G4" s="4">
        <v>21.428080715</v>
      </c>
      <c r="H4" s="4">
        <v>2285.934046358122</v>
      </c>
      <c r="I4" s="4">
        <v>1045.4001438383316</v>
      </c>
      <c r="J4" s="4">
        <v>7.6136357791071338</v>
      </c>
      <c r="K4" s="4">
        <v>585.36536212793396</v>
      </c>
      <c r="L4" s="4">
        <v>1.4368834314999999</v>
      </c>
      <c r="M4" s="4">
        <v>127.09267265283739</v>
      </c>
      <c r="N4" s="4">
        <v>369.51387905569567</v>
      </c>
      <c r="O4" s="4">
        <v>172.29352145939191</v>
      </c>
      <c r="P4" s="4">
        <v>0</v>
      </c>
      <c r="Q4" s="4">
        <v>0</v>
      </c>
      <c r="R4" s="4">
        <v>0</v>
      </c>
      <c r="S4" s="4">
        <v>0.29813814779147774</v>
      </c>
      <c r="T4" s="4">
        <v>0</v>
      </c>
      <c r="U4" s="4">
        <v>0</v>
      </c>
      <c r="V4" s="4">
        <v>0</v>
      </c>
      <c r="W4" s="4">
        <v>4618.4455654657104</v>
      </c>
      <c r="X4" s="4">
        <v>4637.2143547107289</v>
      </c>
    </row>
    <row r="5" spans="1:24" hidden="1" x14ac:dyDescent="0.35">
      <c r="A5" s="2" t="s">
        <v>69</v>
      </c>
      <c r="B5" s="2" t="str">
        <f>+VLOOKUP(A5,'HFM Codes'!$B$2:$C$432,2, FALSE)</f>
        <v>VSP</v>
      </c>
      <c r="C5" s="2" t="str">
        <f>+VLOOKUP(A5,'HFM Codes'!$B$2:$E$432,4,FALSE)</f>
        <v>North American Seals</v>
      </c>
      <c r="D5" s="2" t="str">
        <f>+VLOOKUP(A5,'HFM Codes'!$B$2:$D$432,3,FALSE)</f>
        <v>VSP group</v>
      </c>
      <c r="E5" s="4">
        <v>98.309505498507079</v>
      </c>
      <c r="F5" s="4">
        <v>355.49200149185856</v>
      </c>
      <c r="G5" s="4">
        <v>311.79972122101896</v>
      </c>
      <c r="H5" s="4">
        <v>12762.096688972269</v>
      </c>
      <c r="I5" s="4">
        <v>124.25808732501864</v>
      </c>
      <c r="J5" s="4">
        <v>112.89388740621868</v>
      </c>
      <c r="K5" s="4">
        <v>988.83403753197331</v>
      </c>
      <c r="L5" s="4">
        <v>43.365435194649997</v>
      </c>
      <c r="M5" s="4">
        <v>431.29618787340485</v>
      </c>
      <c r="N5" s="4">
        <v>341.76738725578542</v>
      </c>
      <c r="O5" s="4">
        <v>122.77079652765171</v>
      </c>
      <c r="P5" s="4">
        <v>0</v>
      </c>
      <c r="Q5" s="4">
        <v>0</v>
      </c>
      <c r="R5" s="4">
        <v>0</v>
      </c>
      <c r="S5" s="4">
        <v>0.59858824043145975</v>
      </c>
      <c r="T5" s="4">
        <v>0</v>
      </c>
      <c r="U5" s="4">
        <v>0</v>
      </c>
      <c r="V5" s="4">
        <v>0</v>
      </c>
      <c r="W5" s="4">
        <v>15337.99032304693</v>
      </c>
      <c r="X5" s="4">
        <v>15381.682603317769</v>
      </c>
    </row>
    <row r="6" spans="1:24" x14ac:dyDescent="0.35">
      <c r="A6" s="2" t="s">
        <v>68</v>
      </c>
      <c r="B6" s="2" t="str">
        <f>+VLOOKUP(A6,'HFM Codes'!$B$2:$C$432,2, FALSE)</f>
        <v>FITT Resources</v>
      </c>
      <c r="C6" s="2" t="str">
        <f>+VLOOKUP(A6,'HFM Codes'!$B$2:$E$432,4,FALSE)</f>
        <v>International Seals (excl Disposals)</v>
      </c>
      <c r="D6" s="2" t="str">
        <f>+VLOOKUP(A6,'HFM Codes'!$B$2:$D$432,3,FALSE)</f>
        <v>Diploma Australia Seals</v>
      </c>
      <c r="E6" s="4">
        <v>359.71836496269987</v>
      </c>
      <c r="F6" s="4">
        <v>96.24773079000002</v>
      </c>
      <c r="G6" s="4">
        <v>96.24773079000002</v>
      </c>
      <c r="H6" s="4">
        <v>2209.6274252350249</v>
      </c>
      <c r="I6" s="4">
        <v>93.780348155493584</v>
      </c>
      <c r="J6" s="4">
        <v>111.09041114038521</v>
      </c>
      <c r="K6" s="4">
        <v>-158.69976194197255</v>
      </c>
      <c r="L6" s="4">
        <v>20.82042126811908</v>
      </c>
      <c r="M6" s="4">
        <v>274.35464288234886</v>
      </c>
      <c r="N6" s="4">
        <v>260.18483734139238</v>
      </c>
      <c r="O6" s="4">
        <v>67.035659454725888</v>
      </c>
      <c r="P6" s="4">
        <v>0</v>
      </c>
      <c r="Q6" s="4">
        <v>0</v>
      </c>
      <c r="R6" s="4">
        <v>0</v>
      </c>
      <c r="S6" s="4">
        <v>0.23349914961848245</v>
      </c>
      <c r="T6" s="4">
        <v>0</v>
      </c>
      <c r="U6" s="4">
        <v>0</v>
      </c>
      <c r="V6" s="4">
        <v>0</v>
      </c>
      <c r="W6" s="4">
        <v>3334.3935784378359</v>
      </c>
      <c r="X6" s="4">
        <v>3334.3935784378359</v>
      </c>
    </row>
    <row r="7" spans="1:24" hidden="1" x14ac:dyDescent="0.35">
      <c r="A7" s="2" t="s">
        <v>53</v>
      </c>
      <c r="B7" s="2" t="str">
        <f>+VLOOKUP(A7,'HFM Codes'!$B$2:$C$432,2, FALSE)</f>
        <v>Hercules OEM group</v>
      </c>
      <c r="C7" s="2" t="str">
        <f>+VLOOKUP(A7,'HFM Codes'!$B$2:$E$432,4,FALSE)</f>
        <v>North American Seals</v>
      </c>
      <c r="D7" s="2" t="str">
        <f>+VLOOKUP(A7,'HFM Codes'!$B$2:$D$432,3,FALSE)</f>
        <v>OEM</v>
      </c>
      <c r="E7" s="4">
        <v>85.604518490724942</v>
      </c>
      <c r="F7" s="4">
        <v>94.946747910162188</v>
      </c>
      <c r="G7" s="4">
        <v>162.57693021570816</v>
      </c>
      <c r="H7" s="4">
        <v>18717.240908210908</v>
      </c>
      <c r="I7" s="4">
        <v>34.878088423920047</v>
      </c>
      <c r="J7" s="4">
        <v>49.925632553689255</v>
      </c>
      <c r="K7" s="4">
        <v>2844.6972311810223</v>
      </c>
      <c r="L7" s="4">
        <v>11.716548709363011</v>
      </c>
      <c r="M7" s="4">
        <v>197.94630293781401</v>
      </c>
      <c r="N7" s="4">
        <v>253.78324040629002</v>
      </c>
      <c r="O7" s="4">
        <v>138.24755441379057</v>
      </c>
      <c r="P7" s="4">
        <v>0</v>
      </c>
      <c r="Q7" s="4">
        <v>0</v>
      </c>
      <c r="R7" s="4">
        <v>0</v>
      </c>
      <c r="S7" s="4">
        <v>0.27297358373941216</v>
      </c>
      <c r="T7" s="4">
        <v>0</v>
      </c>
      <c r="U7" s="4">
        <v>0</v>
      </c>
      <c r="V7" s="4">
        <v>0</v>
      </c>
      <c r="W7" s="4">
        <v>22496.889929126966</v>
      </c>
      <c r="X7" s="4">
        <v>22429.259746821419</v>
      </c>
    </row>
    <row r="8" spans="1:24" hidden="1" x14ac:dyDescent="0.35">
      <c r="A8" s="2" t="s">
        <v>51</v>
      </c>
      <c r="B8" s="2" t="str">
        <f>+VLOOKUP(A8,'HFM Codes'!$B$2:$C$432,2, FALSE)</f>
        <v>Abacus-Dx Pty Ltd</v>
      </c>
      <c r="C8" s="2" t="str">
        <f>+VLOOKUP(A8,'HFM Codes'!$B$2:$E$432,4,FALSE)</f>
        <v>Life Sciences</v>
      </c>
      <c r="D8" s="2" t="str">
        <f>+VLOOKUP(A8,'HFM Codes'!$B$2:$D$432,3,FALSE)</f>
        <v>Life Sciences Australasia</v>
      </c>
      <c r="E8" s="4">
        <v>0.60381099999999999</v>
      </c>
      <c r="F8" s="4">
        <v>95.811883236000043</v>
      </c>
      <c r="G8" s="4">
        <v>165.39869460600005</v>
      </c>
      <c r="H8" s="4">
        <v>7647.2865863094476</v>
      </c>
      <c r="I8" s="4">
        <v>348.20844815431116</v>
      </c>
      <c r="J8" s="4">
        <v>40.415306463571952</v>
      </c>
      <c r="K8" s="4">
        <v>265.00558514961119</v>
      </c>
      <c r="L8" s="4">
        <v>4.6452680107725444</v>
      </c>
      <c r="M8" s="4">
        <v>494.18677753270964</v>
      </c>
      <c r="N8" s="4">
        <v>235.02868272545456</v>
      </c>
      <c r="O8" s="4">
        <v>47.464027039564911</v>
      </c>
      <c r="P8" s="4">
        <v>0</v>
      </c>
      <c r="Q8" s="4">
        <v>0</v>
      </c>
      <c r="R8" s="4">
        <v>836.8489316299864</v>
      </c>
      <c r="S8" s="4">
        <v>0.55060462014134182</v>
      </c>
      <c r="T8" s="4">
        <v>0</v>
      </c>
      <c r="U8" s="4">
        <v>0</v>
      </c>
      <c r="V8" s="4">
        <v>0</v>
      </c>
      <c r="W8" s="4">
        <v>10085.642723241572</v>
      </c>
      <c r="X8" s="4">
        <v>10016.055911871572</v>
      </c>
    </row>
    <row r="9" spans="1:24" hidden="1" x14ac:dyDescent="0.35">
      <c r="A9" s="2" t="s">
        <v>76</v>
      </c>
      <c r="B9" s="2" t="str">
        <f>+VLOOKUP(A9,'HFM Codes'!$B$2:$C$432,2, FALSE)</f>
        <v>Accuscience</v>
      </c>
      <c r="C9" s="2" t="str">
        <f>+VLOOKUP(A9,'HFM Codes'!$B$2:$E$432,4,FALSE)</f>
        <v>Life Sciences</v>
      </c>
      <c r="D9" s="2" t="str">
        <f>+VLOOKUP(A9,'HFM Codes'!$B$2:$D$432,3,FALSE)</f>
        <v>Life Sciences Ireland</v>
      </c>
      <c r="E9" s="4">
        <v>387.94081126000015</v>
      </c>
      <c r="F9" s="4">
        <v>56.421951042332338</v>
      </c>
      <c r="G9" s="4">
        <v>45.140720399999999</v>
      </c>
      <c r="H9" s="4">
        <v>5653.9813969821871</v>
      </c>
      <c r="I9" s="4">
        <v>46.870156959618406</v>
      </c>
      <c r="J9" s="4">
        <v>97.244415594399953</v>
      </c>
      <c r="K9" s="4">
        <v>438.37501956121343</v>
      </c>
      <c r="L9" s="4">
        <v>0.29836261062000002</v>
      </c>
      <c r="M9" s="4">
        <v>118.93782314115424</v>
      </c>
      <c r="N9" s="4">
        <v>199.0314490408696</v>
      </c>
      <c r="O9" s="4">
        <v>31.138450951000216</v>
      </c>
      <c r="P9" s="4">
        <v>0</v>
      </c>
      <c r="Q9" s="4">
        <v>0</v>
      </c>
      <c r="R9" s="4">
        <v>0</v>
      </c>
      <c r="S9" s="4">
        <v>0.34562971083601446</v>
      </c>
      <c r="T9" s="4">
        <v>0</v>
      </c>
      <c r="U9" s="4">
        <v>0</v>
      </c>
      <c r="V9" s="4">
        <v>0</v>
      </c>
      <c r="W9" s="4">
        <v>7019.3042362119004</v>
      </c>
      <c r="X9" s="4">
        <v>7030.5854668542333</v>
      </c>
    </row>
    <row r="10" spans="1:24" hidden="1" x14ac:dyDescent="0.35">
      <c r="A10" s="2" t="s">
        <v>47</v>
      </c>
      <c r="B10" s="2" t="str">
        <f>+VLOOKUP(A10,'HFM Codes'!$B$2:$C$432,2, FALSE)</f>
        <v>Vantage</v>
      </c>
      <c r="C10" s="2" t="str">
        <f>+VLOOKUP(A10,'HFM Codes'!$B$2:$E$432,4,FALSE)</f>
        <v>Life Sciences</v>
      </c>
      <c r="D10" s="2" t="str">
        <f>+VLOOKUP(A10,'HFM Codes'!$B$2:$D$432,3,FALSE)</f>
        <v>Life Sciences North America</v>
      </c>
      <c r="E10" s="4">
        <v>57.991747840000002</v>
      </c>
      <c r="F10" s="4">
        <v>22.481845718399995</v>
      </c>
      <c r="G10" s="4">
        <v>22.481845718399995</v>
      </c>
      <c r="H10" s="4">
        <v>11663.825353233302</v>
      </c>
      <c r="I10" s="4">
        <v>2513.8795266399147</v>
      </c>
      <c r="J10" s="4">
        <v>16.358226980878996</v>
      </c>
      <c r="K10" s="4">
        <v>2021.1734103782353</v>
      </c>
      <c r="L10" s="4">
        <v>6.7825016400000004</v>
      </c>
      <c r="M10" s="4">
        <v>408.77813475978286</v>
      </c>
      <c r="N10" s="4">
        <v>191.05102379868853</v>
      </c>
      <c r="O10" s="4">
        <v>63.691270170582619</v>
      </c>
      <c r="P10" s="4">
        <v>0</v>
      </c>
      <c r="Q10" s="4">
        <v>0</v>
      </c>
      <c r="R10" s="4">
        <v>0</v>
      </c>
      <c r="S10" s="4">
        <v>1.1492134033272829</v>
      </c>
      <c r="T10" s="4">
        <v>0</v>
      </c>
      <c r="U10" s="4">
        <v>0</v>
      </c>
      <c r="V10" s="4">
        <v>0</v>
      </c>
      <c r="W10" s="4">
        <v>16967.162254563114</v>
      </c>
      <c r="X10" s="4">
        <v>16967.162254563114</v>
      </c>
    </row>
    <row r="11" spans="1:24" hidden="1" x14ac:dyDescent="0.35">
      <c r="A11" s="2" t="s">
        <v>17</v>
      </c>
      <c r="B11" s="2" t="str">
        <f>+VLOOKUP(A11,'HFM Codes'!$B$2:$C$432,2, FALSE)</f>
        <v>Fanucworld</v>
      </c>
      <c r="C11" s="2" t="str">
        <f>+VLOOKUP(A11,'HFM Codes'!$B$2:$E$432,4,FALSE)</f>
        <v>Controls</v>
      </c>
      <c r="D11" s="2" t="str">
        <f>+VLOOKUP(A11,'HFM Codes'!$B$2:$D$432,3,FALSE)</f>
        <v>TIE</v>
      </c>
      <c r="E11" s="4">
        <v>72.016060849938995</v>
      </c>
      <c r="F11" s="4">
        <v>173.44904316661899</v>
      </c>
      <c r="G11" s="4">
        <v>174.71996639360526</v>
      </c>
      <c r="H11" s="4">
        <v>1440.3882747101641</v>
      </c>
      <c r="I11" s="4">
        <v>132.94017079262275</v>
      </c>
      <c r="J11" s="4">
        <v>52.099036627997044</v>
      </c>
      <c r="K11" s="4">
        <v>413.64331506060387</v>
      </c>
      <c r="L11" s="4">
        <v>35.474266622641125</v>
      </c>
      <c r="M11" s="4">
        <v>77.245196500525736</v>
      </c>
      <c r="N11" s="4">
        <v>185.52437260682927</v>
      </c>
      <c r="O11" s="4">
        <v>35.184834792658975</v>
      </c>
      <c r="P11" s="4">
        <v>0</v>
      </c>
      <c r="Q11" s="4">
        <v>0</v>
      </c>
      <c r="R11" s="4">
        <v>0</v>
      </c>
      <c r="S11" s="4">
        <v>0</v>
      </c>
      <c r="T11" s="4">
        <v>0</v>
      </c>
      <c r="U11" s="4">
        <v>0</v>
      </c>
      <c r="V11" s="4">
        <v>0</v>
      </c>
      <c r="W11" s="4">
        <v>2619.235494957587</v>
      </c>
      <c r="X11" s="4">
        <v>2617.9645717306007</v>
      </c>
    </row>
    <row r="12" spans="1:24" hidden="1" x14ac:dyDescent="0.35">
      <c r="A12" s="2" t="s">
        <v>31</v>
      </c>
      <c r="B12" s="2" t="str">
        <f>+VLOOKUP(A12,'HFM Codes'!$B$2:$C$432,2, FALSE)</f>
        <v>CSF Ltd - Leics site</v>
      </c>
      <c r="C12" s="2" t="str">
        <f>+VLOOKUP(A12,'HFM Codes'!$B$2:$E$432,4,FALSE)</f>
        <v>Controls</v>
      </c>
      <c r="D12" s="2" t="str">
        <f>+VLOOKUP(A12,'HFM Codes'!$B$2:$D$432,3,FALSE)</f>
        <v>Specialty Fasteners</v>
      </c>
      <c r="E12" s="4">
        <v>35.470791130315789</v>
      </c>
      <c r="F12" s="4">
        <v>3.3037332282250347</v>
      </c>
      <c r="G12" s="4">
        <v>31.44818780000001</v>
      </c>
      <c r="H12" s="4">
        <v>3349.1333549160854</v>
      </c>
      <c r="I12" s="4">
        <v>36.434440814981208</v>
      </c>
      <c r="J12" s="4">
        <v>17.223866689985933</v>
      </c>
      <c r="K12" s="4">
        <v>735.62314927806699</v>
      </c>
      <c r="L12" s="4">
        <v>1.7672723079211001</v>
      </c>
      <c r="M12" s="4">
        <v>0</v>
      </c>
      <c r="N12" s="4">
        <v>167.25192121615385</v>
      </c>
      <c r="O12" s="4">
        <v>7.9337395863453031</v>
      </c>
      <c r="P12" s="4">
        <v>0</v>
      </c>
      <c r="Q12" s="4">
        <v>0</v>
      </c>
      <c r="R12" s="4">
        <v>0</v>
      </c>
      <c r="S12" s="4">
        <v>0.86279697220070706</v>
      </c>
      <c r="T12" s="4">
        <v>0</v>
      </c>
      <c r="U12" s="4">
        <v>0</v>
      </c>
      <c r="V12" s="4">
        <v>0</v>
      </c>
      <c r="W12" s="4">
        <v>4383.149520712057</v>
      </c>
      <c r="X12" s="4">
        <v>4355.005066140282</v>
      </c>
    </row>
    <row r="13" spans="1:24" hidden="1" x14ac:dyDescent="0.35">
      <c r="A13" s="2" t="s">
        <v>11</v>
      </c>
      <c r="B13" s="2" t="str">
        <f>+VLOOKUP(A13,'HFM Codes'!$B$2:$C$432,2, FALSE)</f>
        <v>Dicsa Spain</v>
      </c>
      <c r="C13" s="2" t="str">
        <f>+VLOOKUP(A13,'HFM Codes'!$B$2:$E$432,4,FALSE)</f>
        <v>International Seals (excl Disposals)</v>
      </c>
      <c r="D13" s="2" t="str">
        <f>+VLOOKUP(A13,'HFM Codes'!$B$2:$D$432,3,FALSE)</f>
        <v>Dicsa Group</v>
      </c>
      <c r="E13" s="4">
        <v>60.870391278099987</v>
      </c>
      <c r="F13" s="4">
        <v>24.862684748190759</v>
      </c>
      <c r="G13" s="4">
        <v>337.43962038400002</v>
      </c>
      <c r="H13" s="4">
        <v>4332.8270811099901</v>
      </c>
      <c r="I13" s="4">
        <v>314.79993857014261</v>
      </c>
      <c r="J13" s="4">
        <v>126.9028856794851</v>
      </c>
      <c r="K13" s="4">
        <v>10102.633</v>
      </c>
      <c r="L13" s="4">
        <v>13.605442580400002</v>
      </c>
      <c r="M13" s="4">
        <v>98.451602830366241</v>
      </c>
      <c r="N13" s="4">
        <v>165.23651375</v>
      </c>
      <c r="O13" s="4">
        <v>105.27350225061902</v>
      </c>
      <c r="P13" s="4">
        <v>0</v>
      </c>
      <c r="Q13" s="4">
        <v>0</v>
      </c>
      <c r="R13" s="4">
        <v>0</v>
      </c>
      <c r="S13" s="4">
        <v>3.9153210758789458</v>
      </c>
      <c r="T13" s="4">
        <v>0</v>
      </c>
      <c r="U13" s="4">
        <v>0</v>
      </c>
      <c r="V13" s="4">
        <v>0</v>
      </c>
      <c r="W13" s="4">
        <v>15661.955299508982</v>
      </c>
      <c r="X13" s="4">
        <v>15349.378363873171</v>
      </c>
    </row>
    <row r="14" spans="1:24" hidden="1" x14ac:dyDescent="0.35">
      <c r="A14" s="2" t="s">
        <v>34</v>
      </c>
      <c r="B14" s="2" t="str">
        <f>+VLOOKUP(A14,'HFM Codes'!$B$2:$C$432,2, FALSE)</f>
        <v>IS-Rayfast Ltd</v>
      </c>
      <c r="C14" s="2" t="str">
        <f>+VLOOKUP(A14,'HFM Codes'!$B$2:$E$432,4,FALSE)</f>
        <v>Controls</v>
      </c>
      <c r="D14" s="2" t="str">
        <f>+VLOOKUP(A14,'HFM Codes'!$B$2:$D$432,3,FALSE)</f>
        <v>ISG</v>
      </c>
      <c r="E14" s="4">
        <v>65.96832658999999</v>
      </c>
      <c r="F14" s="4">
        <v>138.68839774194436</v>
      </c>
      <c r="G14" s="4">
        <v>83.031066770000024</v>
      </c>
      <c r="H14" s="4">
        <v>5793.1110742916753</v>
      </c>
      <c r="I14" s="4">
        <v>24.513468705116772</v>
      </c>
      <c r="J14" s="4">
        <v>38.0068298863686</v>
      </c>
      <c r="K14" s="4">
        <v>657.41934037817589</v>
      </c>
      <c r="L14" s="4">
        <v>0.53509361670000011</v>
      </c>
      <c r="M14" s="4">
        <v>206.57922464763942</v>
      </c>
      <c r="N14" s="4">
        <v>153.48689583599995</v>
      </c>
      <c r="O14" s="4">
        <v>57.5586104639195</v>
      </c>
      <c r="P14" s="4">
        <v>0</v>
      </c>
      <c r="Q14" s="4">
        <v>0</v>
      </c>
      <c r="R14" s="4">
        <v>0</v>
      </c>
      <c r="S14" s="4">
        <v>0.79210268470139789</v>
      </c>
      <c r="T14" s="4">
        <v>0</v>
      </c>
      <c r="U14" s="4">
        <v>0</v>
      </c>
      <c r="V14" s="4">
        <v>0</v>
      </c>
      <c r="W14" s="4">
        <v>7081.0020338702971</v>
      </c>
      <c r="X14" s="4">
        <v>7136.6593648422422</v>
      </c>
    </row>
    <row r="15" spans="1:24" hidden="1" x14ac:dyDescent="0.35">
      <c r="A15" s="2" t="s">
        <v>65</v>
      </c>
      <c r="B15" s="2" t="str">
        <f>+VLOOKUP(A15,'HFM Codes'!$B$2:$C$432,2, FALSE)</f>
        <v>Kubo Tech</v>
      </c>
      <c r="C15" s="2" t="str">
        <f>+VLOOKUP(A15,'HFM Codes'!$B$2:$E$432,4,FALSE)</f>
        <v>International Seals</v>
      </c>
      <c r="D15" s="2" t="str">
        <f>+VLOOKUP(A15,'HFM Codes'!$B$2:$D$432,3,FALSE)</f>
        <v>International Seals- Disposal</v>
      </c>
      <c r="E15" s="4">
        <v>25.703714539999996</v>
      </c>
      <c r="F15" s="4">
        <v>68.174636850503134</v>
      </c>
      <c r="G15" s="4">
        <v>68.174636850503134</v>
      </c>
      <c r="H15" s="4">
        <v>1764.6960826459313</v>
      </c>
      <c r="I15" s="4">
        <v>72.89665337667148</v>
      </c>
      <c r="J15" s="4">
        <v>24.535875088432849</v>
      </c>
      <c r="K15" s="4">
        <v>92.03623324690119</v>
      </c>
      <c r="L15" s="4">
        <v>0.43941526245000007</v>
      </c>
      <c r="M15" s="4">
        <v>82.331408134388909</v>
      </c>
      <c r="N15" s="4">
        <v>153.43003610666665</v>
      </c>
      <c r="O15" s="4">
        <v>84.460048181639777</v>
      </c>
      <c r="P15" s="4">
        <v>0</v>
      </c>
      <c r="Q15" s="4">
        <v>0</v>
      </c>
      <c r="R15" s="4">
        <v>0</v>
      </c>
      <c r="S15" s="4">
        <v>0.37801865910497728</v>
      </c>
      <c r="T15" s="4">
        <v>0</v>
      </c>
      <c r="U15" s="4">
        <v>0</v>
      </c>
      <c r="V15" s="4">
        <v>0</v>
      </c>
      <c r="W15" s="4">
        <v>2369.0821220926905</v>
      </c>
      <c r="X15" s="4">
        <v>2369.0821220926905</v>
      </c>
    </row>
    <row r="16" spans="1:24" hidden="1" x14ac:dyDescent="0.35">
      <c r="A16" s="2" t="s">
        <v>48</v>
      </c>
      <c r="B16" s="2" t="str">
        <f>+VLOOKUP(A16,'HFM Codes'!$B$2:$C$432,2, FALSE)</f>
        <v>TPD</v>
      </c>
      <c r="C16" s="2" t="str">
        <f>+VLOOKUP(A16,'HFM Codes'!$B$2:$E$432,4,FALSE)</f>
        <v>Life Sciences</v>
      </c>
      <c r="D16" s="2" t="str">
        <f>+VLOOKUP(A16,'HFM Codes'!$B$2:$D$432,3,FALSE)</f>
        <v>Life Sciences Ireland</v>
      </c>
      <c r="E16" s="4">
        <v>86.711815395555561</v>
      </c>
      <c r="F16" s="4">
        <v>61.099649312719137</v>
      </c>
      <c r="G16" s="4">
        <v>58.353324899999997</v>
      </c>
      <c r="H16" s="4">
        <v>5122.6784338914204</v>
      </c>
      <c r="I16" s="4">
        <v>56.567214564199816</v>
      </c>
      <c r="J16" s="4">
        <v>37.476627812969525</v>
      </c>
      <c r="K16" s="4">
        <v>656.40884757660422</v>
      </c>
      <c r="L16" s="4">
        <v>0.43396653111400008</v>
      </c>
      <c r="M16" s="4">
        <v>106.4044027278817</v>
      </c>
      <c r="N16" s="4">
        <v>150.78717897923079</v>
      </c>
      <c r="O16" s="4">
        <v>10.207651125072811</v>
      </c>
      <c r="P16" s="4">
        <v>0</v>
      </c>
      <c r="Q16" s="4">
        <v>0</v>
      </c>
      <c r="R16" s="4">
        <v>0</v>
      </c>
      <c r="S16" s="4">
        <v>0.55191760167674875</v>
      </c>
      <c r="T16" s="4">
        <v>0</v>
      </c>
      <c r="U16" s="4">
        <v>0</v>
      </c>
      <c r="V16" s="4">
        <v>0</v>
      </c>
      <c r="W16" s="4">
        <v>6286.5813811057242</v>
      </c>
      <c r="X16" s="4">
        <v>6289.3277055184435</v>
      </c>
    </row>
    <row r="17" spans="1:24" hidden="1" x14ac:dyDescent="0.35">
      <c r="A17" s="2" t="s">
        <v>93</v>
      </c>
      <c r="B17" s="2" t="str">
        <f>+VLOOKUP(A17,'HFM Codes'!$B$2:$C$432,2, FALSE)</f>
        <v>Pennine Pneumatic Services</v>
      </c>
      <c r="C17" s="2" t="str">
        <f>+VLOOKUP(A17,'HFM Codes'!$B$2:$E$432,4,FALSE)</f>
        <v>International Seals</v>
      </c>
      <c r="D17" s="2" t="str">
        <f>+VLOOKUP(A17,'HFM Codes'!$B$2:$D$432,3,FALSE)</f>
        <v>International Seals- Disposal</v>
      </c>
      <c r="E17" s="4">
        <v>299.19743183949993</v>
      </c>
      <c r="F17" s="4">
        <v>61.216775079706466</v>
      </c>
      <c r="G17" s="4">
        <v>32.633336845000002</v>
      </c>
      <c r="H17" s="4">
        <v>1830.1141544558675</v>
      </c>
      <c r="I17" s="4">
        <v>80.846965784066185</v>
      </c>
      <c r="J17" s="4">
        <v>82.749266922397226</v>
      </c>
      <c r="K17" s="4">
        <v>255.01914960976606</v>
      </c>
      <c r="L17" s="4">
        <v>16.454826099600005</v>
      </c>
      <c r="M17" s="4">
        <v>111.23317859945156</v>
      </c>
      <c r="N17" s="4">
        <v>147.16413560339728</v>
      </c>
      <c r="O17" s="4">
        <v>45.898558049279984</v>
      </c>
      <c r="P17" s="4">
        <v>0</v>
      </c>
      <c r="Q17" s="4">
        <v>0</v>
      </c>
      <c r="R17" s="4">
        <v>0</v>
      </c>
      <c r="S17" s="4">
        <v>0</v>
      </c>
      <c r="T17" s="4">
        <v>0</v>
      </c>
      <c r="U17" s="4">
        <v>0</v>
      </c>
      <c r="V17" s="4">
        <v>0</v>
      </c>
      <c r="W17" s="4">
        <v>2901.3110038083259</v>
      </c>
      <c r="X17" s="4">
        <v>2929.8944420430325</v>
      </c>
    </row>
    <row r="18" spans="1:24" hidden="1" x14ac:dyDescent="0.35">
      <c r="A18" s="2" t="s">
        <v>122</v>
      </c>
      <c r="B18" s="2" t="str">
        <f>+VLOOKUP(A18,'HFM Codes'!$B$2:$C$432,2, FALSE)</f>
        <v>IS-Sommer</v>
      </c>
      <c r="C18" s="2" t="str">
        <f>+VLOOKUP(A18,'HFM Codes'!$B$2:$E$432,4,FALSE)</f>
        <v>Controls</v>
      </c>
      <c r="D18" s="2" t="str">
        <f>+VLOOKUP(A18,'HFM Codes'!$B$2:$D$432,3,FALSE)</f>
        <v>ISG</v>
      </c>
      <c r="E18" s="4">
        <v>77.906259825000021</v>
      </c>
      <c r="F18" s="4">
        <v>63.797451664643788</v>
      </c>
      <c r="G18" s="4">
        <v>32.505632599999998</v>
      </c>
      <c r="H18" s="4">
        <v>4385.5630131940052</v>
      </c>
      <c r="I18" s="4">
        <v>41.860002176242467</v>
      </c>
      <c r="J18" s="4">
        <v>26.270695527214897</v>
      </c>
      <c r="K18" s="4">
        <v>39.303190963600009</v>
      </c>
      <c r="L18" s="4">
        <v>0.16359235659000002</v>
      </c>
      <c r="M18" s="4">
        <v>37.297435062226199</v>
      </c>
      <c r="N18" s="4">
        <v>141.90248226</v>
      </c>
      <c r="O18" s="4">
        <v>64.984249431741034</v>
      </c>
      <c r="P18" s="4">
        <v>0</v>
      </c>
      <c r="Q18" s="4">
        <v>0</v>
      </c>
      <c r="R18" s="4">
        <v>0</v>
      </c>
      <c r="S18" s="4">
        <v>0.91858168456865841</v>
      </c>
      <c r="T18" s="4">
        <v>0</v>
      </c>
      <c r="U18" s="4">
        <v>0</v>
      </c>
      <c r="V18" s="4">
        <v>0</v>
      </c>
      <c r="W18" s="4">
        <v>4848.6751350811892</v>
      </c>
      <c r="X18" s="4">
        <v>4879.9669541458325</v>
      </c>
    </row>
    <row r="19" spans="1:24" hidden="1" x14ac:dyDescent="0.35">
      <c r="A19" s="2" t="s">
        <v>83</v>
      </c>
      <c r="B19" s="2" t="str">
        <f>+VLOOKUP(A19,'HFM Codes'!$B$2:$C$432,2, FALSE)</f>
        <v>Pearson Hydraulics</v>
      </c>
      <c r="C19" s="2" t="str">
        <f>+VLOOKUP(A19,'HFM Codes'!$B$2:$E$432,4,FALSE)</f>
        <v>International Seals (excl Disposals)</v>
      </c>
      <c r="D19" s="2" t="str">
        <f>+VLOOKUP(A19,'HFM Codes'!$B$2:$D$432,3,FALSE)</f>
        <v>R&amp;G Hydraulics</v>
      </c>
      <c r="E19" s="4">
        <v>121.04778683869996</v>
      </c>
      <c r="F19" s="4">
        <v>61.58269091295525</v>
      </c>
      <c r="G19" s="4">
        <v>32.828398649999997</v>
      </c>
      <c r="H19" s="4">
        <v>1227.5609623001776</v>
      </c>
      <c r="I19" s="4">
        <v>74.756951130423289</v>
      </c>
      <c r="J19" s="4">
        <v>35.369909749977865</v>
      </c>
      <c r="K19" s="4">
        <v>177.60861156244806</v>
      </c>
      <c r="L19" s="4">
        <v>0.22872242332529999</v>
      </c>
      <c r="M19" s="4">
        <v>60.329214593667956</v>
      </c>
      <c r="N19" s="4">
        <v>138.05535422000003</v>
      </c>
      <c r="O19" s="4">
        <v>64.110868893004508</v>
      </c>
      <c r="P19" s="4">
        <v>0</v>
      </c>
      <c r="Q19" s="4">
        <v>0</v>
      </c>
      <c r="R19" s="4">
        <v>0</v>
      </c>
      <c r="S19" s="4">
        <v>0.15920269720138236</v>
      </c>
      <c r="T19" s="4">
        <v>0</v>
      </c>
      <c r="U19" s="4">
        <v>0</v>
      </c>
      <c r="V19" s="4">
        <v>0</v>
      </c>
      <c r="W19" s="4">
        <v>1932.0559830589257</v>
      </c>
      <c r="X19" s="4">
        <v>1960.8102753218809</v>
      </c>
    </row>
    <row r="20" spans="1:24" hidden="1" x14ac:dyDescent="0.35">
      <c r="A20" s="2" t="s">
        <v>45</v>
      </c>
      <c r="B20" s="2" t="str">
        <f>+VLOOKUP(A20,'HFM Codes'!$B$2:$C$432,2, FALSE)</f>
        <v>Somagen</v>
      </c>
      <c r="C20" s="2" t="str">
        <f>+VLOOKUP(A20,'HFM Codes'!$B$2:$E$432,4,FALSE)</f>
        <v>Life Sciences</v>
      </c>
      <c r="D20" s="2" t="str">
        <f>+VLOOKUP(A20,'HFM Codes'!$B$2:$D$432,3,FALSE)</f>
        <v>Life Sciences North America</v>
      </c>
      <c r="E20" s="4">
        <v>61.688105555604892</v>
      </c>
      <c r="F20" s="4">
        <v>19.604748411000003</v>
      </c>
      <c r="G20" s="4">
        <v>19.604748411000003</v>
      </c>
      <c r="H20" s="4">
        <v>8316.4092612112709</v>
      </c>
      <c r="I20" s="4">
        <v>164.84877729598438</v>
      </c>
      <c r="J20" s="4">
        <v>16.131968139627972</v>
      </c>
      <c r="K20" s="4">
        <v>604.79704291731241</v>
      </c>
      <c r="L20" s="4">
        <v>10.5598983416</v>
      </c>
      <c r="M20" s="4">
        <v>415.4456889683857</v>
      </c>
      <c r="N20" s="4">
        <v>137.01639080512007</v>
      </c>
      <c r="O20" s="4">
        <v>11.338805252499224</v>
      </c>
      <c r="P20" s="4">
        <v>0</v>
      </c>
      <c r="Q20" s="4">
        <v>0</v>
      </c>
      <c r="R20" s="4">
        <v>474.82489488603898</v>
      </c>
      <c r="S20" s="4">
        <v>0.69212601133703666</v>
      </c>
      <c r="T20" s="4">
        <v>0</v>
      </c>
      <c r="U20" s="4">
        <v>0</v>
      </c>
      <c r="V20" s="4">
        <v>0</v>
      </c>
      <c r="W20" s="4">
        <v>10233.357707795782</v>
      </c>
      <c r="X20" s="4">
        <v>10233.357707795782</v>
      </c>
    </row>
    <row r="21" spans="1:24" hidden="1" x14ac:dyDescent="0.35">
      <c r="A21" s="2" t="s">
        <v>6</v>
      </c>
      <c r="B21" s="2" t="str">
        <f>+VLOOKUP(A21,'HFM Codes'!$B$2:$C$432,2, FALSE)</f>
        <v>Plastic &amp; Rubber Group Limited</v>
      </c>
      <c r="C21" s="2" t="str">
        <f>+VLOOKUP(A21,'HFM Codes'!$B$2:$E$432,4,FALSE)</f>
        <v>International Seals (excl Disposals)</v>
      </c>
      <c r="D21" s="2" t="str">
        <f>+VLOOKUP(A21,'HFM Codes'!$B$2:$D$432,3,FALSE)</f>
        <v>R&amp;G Seals and Gaskets</v>
      </c>
      <c r="E21" s="4">
        <v>5.4479693999999999</v>
      </c>
      <c r="F21" s="4">
        <v>21.737443502390075</v>
      </c>
      <c r="G21" s="4">
        <v>11.587760300000001</v>
      </c>
      <c r="H21" s="4">
        <v>369.09779765544062</v>
      </c>
      <c r="I21" s="4">
        <v>64.669515638396888</v>
      </c>
      <c r="J21" s="4">
        <v>5.1999260871367996</v>
      </c>
      <c r="K21" s="4">
        <v>101.05658013278703</v>
      </c>
      <c r="L21" s="4">
        <v>0.24212873969999998</v>
      </c>
      <c r="M21" s="4">
        <v>3.1577053476221351</v>
      </c>
      <c r="N21" s="4">
        <v>131.22696584152345</v>
      </c>
      <c r="O21" s="4">
        <v>0</v>
      </c>
      <c r="P21" s="4">
        <v>0</v>
      </c>
      <c r="Q21" s="4">
        <v>0</v>
      </c>
      <c r="R21" s="4">
        <v>0</v>
      </c>
      <c r="S21" s="4">
        <v>0.18564158893715738</v>
      </c>
      <c r="T21" s="4">
        <v>0</v>
      </c>
      <c r="U21" s="4">
        <v>0</v>
      </c>
      <c r="V21" s="4">
        <v>0</v>
      </c>
      <c r="W21" s="4">
        <v>691.8719907315442</v>
      </c>
      <c r="X21" s="4">
        <v>702.02167393393427</v>
      </c>
    </row>
    <row r="22" spans="1:24" hidden="1" x14ac:dyDescent="0.35">
      <c r="A22" s="2" t="s">
        <v>7</v>
      </c>
      <c r="B22" s="2" t="str">
        <f>+VLOOKUP(A22,'HFM Codes'!$B$2:$C$432,2, FALSE)</f>
        <v>Peerless Aerospace US</v>
      </c>
      <c r="C22" s="2" t="str">
        <f>+VLOOKUP(A22,'HFM Codes'!$B$2:$E$432,4,FALSE)</f>
        <v>Controls</v>
      </c>
      <c r="D22" s="2" t="str">
        <f>+VLOOKUP(A22,'HFM Codes'!$B$2:$D$432,3,FALSE)</f>
        <v>Peerless Aerospace Group</v>
      </c>
      <c r="E22" s="4">
        <v>0</v>
      </c>
      <c r="F22" s="4">
        <v>301.56428895478058</v>
      </c>
      <c r="G22" s="4">
        <v>298.29473779096031</v>
      </c>
      <c r="H22" s="4">
        <v>5097.553312506021</v>
      </c>
      <c r="I22" s="4">
        <v>0</v>
      </c>
      <c r="J22" s="4">
        <v>66.428069699290035</v>
      </c>
      <c r="K22" s="4">
        <v>818.57857643060527</v>
      </c>
      <c r="L22" s="4">
        <v>0</v>
      </c>
      <c r="M22" s="4">
        <v>65.362976325355277</v>
      </c>
      <c r="N22" s="4">
        <v>119.64811591433019</v>
      </c>
      <c r="O22" s="4">
        <v>0</v>
      </c>
      <c r="P22" s="4">
        <v>0</v>
      </c>
      <c r="Q22" s="4">
        <v>0</v>
      </c>
      <c r="R22" s="4">
        <v>0</v>
      </c>
      <c r="S22" s="4">
        <v>0</v>
      </c>
      <c r="T22" s="4">
        <v>0</v>
      </c>
      <c r="U22" s="4">
        <v>0</v>
      </c>
      <c r="V22" s="4">
        <v>0</v>
      </c>
      <c r="W22" s="4">
        <v>6465.8657886665633</v>
      </c>
      <c r="X22" s="4">
        <v>6469.1353398303836</v>
      </c>
    </row>
    <row r="23" spans="1:24" x14ac:dyDescent="0.35">
      <c r="A23" s="2" t="s">
        <v>67</v>
      </c>
      <c r="B23" s="2" t="str">
        <f>+VLOOKUP(A23,'HFM Codes'!$B$2:$C$432,2, FALSE)</f>
        <v>PumpNSeal PTY</v>
      </c>
      <c r="C23" s="2" t="str">
        <f>+VLOOKUP(A23,'HFM Codes'!$B$2:$E$432,4,FALSE)</f>
        <v>International Seals (excl Disposals)</v>
      </c>
      <c r="D23" s="2" t="str">
        <f>+VLOOKUP(A23,'HFM Codes'!$B$2:$D$432,3,FALSE)</f>
        <v>Diploma Australia Seals</v>
      </c>
      <c r="E23" s="4">
        <v>31.250351722600001</v>
      </c>
      <c r="F23" s="4">
        <v>17.267135415300004</v>
      </c>
      <c r="G23" s="4">
        <v>41.257148415300009</v>
      </c>
      <c r="H23" s="4">
        <v>1262.0902019470043</v>
      </c>
      <c r="I23" s="4">
        <v>34.712150079410769</v>
      </c>
      <c r="J23" s="4">
        <v>17.514952538361342</v>
      </c>
      <c r="K23" s="4">
        <v>34.632583158256466</v>
      </c>
      <c r="L23" s="4">
        <v>6.0339539729248726</v>
      </c>
      <c r="M23" s="4">
        <v>30.64500999881535</v>
      </c>
      <c r="N23" s="4">
        <v>105.01637699853659</v>
      </c>
      <c r="O23" s="4">
        <v>27.063455469685753</v>
      </c>
      <c r="P23" s="4">
        <v>0</v>
      </c>
      <c r="Q23" s="4">
        <v>0</v>
      </c>
      <c r="R23" s="4">
        <v>0</v>
      </c>
      <c r="S23" s="4">
        <v>3.8586405413653678E-2</v>
      </c>
      <c r="T23" s="4">
        <v>0</v>
      </c>
      <c r="U23" s="4">
        <v>0</v>
      </c>
      <c r="V23" s="4">
        <v>0</v>
      </c>
      <c r="W23" s="4">
        <v>1590.254770706309</v>
      </c>
      <c r="X23" s="4">
        <v>1566.264757706309</v>
      </c>
    </row>
    <row r="24" spans="1:24" hidden="1" x14ac:dyDescent="0.35">
      <c r="A24" s="2" t="s">
        <v>18</v>
      </c>
      <c r="B24" s="2" t="str">
        <f>+VLOOKUP(A24,'HFM Codes'!$B$2:$C$432,2, FALSE)</f>
        <v>Parker Group</v>
      </c>
      <c r="C24" s="2" t="str">
        <f>+VLOOKUP(A24,'HFM Codes'!$B$2:$E$432,4,FALSE)</f>
        <v>Controls</v>
      </c>
      <c r="D24" s="2" t="str">
        <f>+VLOOKUP(A24,'HFM Codes'!$B$2:$D$432,3,FALSE)</f>
        <v>TIE</v>
      </c>
      <c r="E24" s="4">
        <v>34.394963772068415</v>
      </c>
      <c r="F24" s="4">
        <v>53.381661992962741</v>
      </c>
      <c r="G24" s="4">
        <v>51.229222229647931</v>
      </c>
      <c r="H24" s="4">
        <v>491.94533337833923</v>
      </c>
      <c r="I24" s="4">
        <v>15.797960519683375</v>
      </c>
      <c r="J24" s="4">
        <v>17.368084534857964</v>
      </c>
      <c r="K24" s="4">
        <v>120.41210251134029</v>
      </c>
      <c r="L24" s="4">
        <v>49.787397996832311</v>
      </c>
      <c r="M24" s="4">
        <v>6.0542015842207322</v>
      </c>
      <c r="N24" s="4">
        <v>96.591199039999992</v>
      </c>
      <c r="O24" s="4">
        <v>9.7160662494580361</v>
      </c>
      <c r="P24" s="4">
        <v>0</v>
      </c>
      <c r="Q24" s="4">
        <v>0</v>
      </c>
      <c r="R24" s="4">
        <v>0</v>
      </c>
      <c r="S24" s="4">
        <v>0</v>
      </c>
      <c r="T24" s="4">
        <v>0</v>
      </c>
      <c r="U24" s="4">
        <v>0</v>
      </c>
      <c r="V24" s="4">
        <v>0</v>
      </c>
      <c r="W24" s="4">
        <v>893.29653181644824</v>
      </c>
      <c r="X24" s="4">
        <v>895.44897157976311</v>
      </c>
    </row>
    <row r="25" spans="1:24" hidden="1" x14ac:dyDescent="0.35">
      <c r="A25" s="2" t="s">
        <v>32</v>
      </c>
      <c r="B25" s="2" t="str">
        <f>+VLOOKUP(A25,'HFM Codes'!$B$2:$C$432,2, FALSE)</f>
        <v>HBC - Support</v>
      </c>
      <c r="C25" s="2" t="str">
        <f>+VLOOKUP(A25,'HFM Codes'!$B$2:$E$432,4,FALSE)</f>
        <v>Controls</v>
      </c>
      <c r="D25" s="2" t="str">
        <f>+VLOOKUP(A25,'HFM Codes'!$B$2:$D$432,3,FALSE)</f>
        <v>Specialty Fasteners</v>
      </c>
      <c r="E25" s="4">
        <v>1.3301619860163973</v>
      </c>
      <c r="F25" s="4">
        <v>17.005804526667717</v>
      </c>
      <c r="G25" s="4">
        <v>15.312587759664037</v>
      </c>
      <c r="H25" s="4">
        <v>1817.2731473268805</v>
      </c>
      <c r="I25" s="4">
        <v>44.846275951360838</v>
      </c>
      <c r="J25" s="4">
        <v>6.0450314129278109</v>
      </c>
      <c r="K25" s="4">
        <v>22.101756087491641</v>
      </c>
      <c r="L25" s="4">
        <v>5.659370199886844</v>
      </c>
      <c r="M25" s="4">
        <v>0</v>
      </c>
      <c r="N25" s="4">
        <v>93.722050491999994</v>
      </c>
      <c r="O25" s="4">
        <v>3.5034515609615187</v>
      </c>
      <c r="P25" s="4">
        <v>0</v>
      </c>
      <c r="Q25" s="4">
        <v>0</v>
      </c>
      <c r="R25" s="4">
        <v>0</v>
      </c>
      <c r="S25" s="4">
        <v>4.7690898539420622E-2</v>
      </c>
      <c r="T25" s="4">
        <v>0</v>
      </c>
      <c r="U25" s="4">
        <v>0</v>
      </c>
      <c r="V25" s="4">
        <v>0</v>
      </c>
      <c r="W25" s="4">
        <v>2009.8415236757289</v>
      </c>
      <c r="X25" s="4">
        <v>2011.5347404427328</v>
      </c>
    </row>
    <row r="26" spans="1:24" hidden="1" x14ac:dyDescent="0.35">
      <c r="A26" s="2" t="s">
        <v>58</v>
      </c>
      <c r="B26" s="2" t="str">
        <f>+VLOOKUP(A26,'HFM Codes'!$B$2:$C$432,2, FALSE)</f>
        <v>HKX</v>
      </c>
      <c r="C26" s="2" t="str">
        <f>+VLOOKUP(A26,'HFM Codes'!$B$2:$E$432,4,FALSE)</f>
        <v>North American Seals</v>
      </c>
      <c r="D26" s="2" t="str">
        <f>+VLOOKUP(A26,'HFM Codes'!$B$2:$D$432,3,FALSE)</f>
        <v>Aftermarket</v>
      </c>
      <c r="E26" s="4">
        <v>50.662481089999993</v>
      </c>
      <c r="F26" s="4">
        <v>40.437292397640554</v>
      </c>
      <c r="G26" s="4">
        <v>37.461143240353195</v>
      </c>
      <c r="H26" s="4">
        <v>1068.6979051226094</v>
      </c>
      <c r="I26" s="4">
        <v>10.592690477782121</v>
      </c>
      <c r="J26" s="4">
        <v>21.623430126225312</v>
      </c>
      <c r="K26" s="4">
        <v>371.07753023770829</v>
      </c>
      <c r="L26" s="4">
        <v>4.0552247253466476</v>
      </c>
      <c r="M26" s="4">
        <v>79.885348692925604</v>
      </c>
      <c r="N26" s="4">
        <v>83.029440865000012</v>
      </c>
      <c r="O26" s="4">
        <v>45.902640468149073</v>
      </c>
      <c r="P26" s="4">
        <v>0</v>
      </c>
      <c r="Q26" s="4">
        <v>0</v>
      </c>
      <c r="R26" s="4">
        <v>0</v>
      </c>
      <c r="S26" s="4">
        <v>0.57941266472946906</v>
      </c>
      <c r="T26" s="4">
        <v>0</v>
      </c>
      <c r="U26" s="4">
        <v>0</v>
      </c>
      <c r="V26" s="4">
        <v>0</v>
      </c>
      <c r="W26" s="4">
        <v>1773.5672477108292</v>
      </c>
      <c r="X26" s="4">
        <v>1776.5433968681164</v>
      </c>
    </row>
    <row r="27" spans="1:24" hidden="1" x14ac:dyDescent="0.35">
      <c r="A27" s="2" t="s">
        <v>23</v>
      </c>
      <c r="B27" s="2" t="str">
        <f>+VLOOKUP(A27,'HFM Codes'!$B$2:$C$432,2, FALSE)</f>
        <v>Hedley Hydraulic Limited</v>
      </c>
      <c r="C27" s="2" t="str">
        <f>+VLOOKUP(A27,'HFM Codes'!$B$2:$E$432,4,FALSE)</f>
        <v>International Seals (excl Disposals)</v>
      </c>
      <c r="D27" s="2" t="str">
        <f>+VLOOKUP(A27,'HFM Codes'!$B$2:$D$432,3,FALSE)</f>
        <v>R&amp;G Hydraulics</v>
      </c>
      <c r="E27" s="4">
        <v>75.557799987399974</v>
      </c>
      <c r="F27" s="4">
        <v>18.006896431815868</v>
      </c>
      <c r="G27" s="4">
        <v>9.5990864600000005</v>
      </c>
      <c r="H27" s="4">
        <v>475.44476255556458</v>
      </c>
      <c r="I27" s="4">
        <v>2.9622341712794209</v>
      </c>
      <c r="J27" s="4">
        <v>18.667308886345172</v>
      </c>
      <c r="K27" s="4">
        <v>53.204698750860807</v>
      </c>
      <c r="L27" s="4">
        <v>2.5972586415000002E-2</v>
      </c>
      <c r="M27" s="4">
        <v>39.70952107276738</v>
      </c>
      <c r="N27" s="4">
        <v>82.447725131333343</v>
      </c>
      <c r="O27" s="4">
        <v>16.007723108225949</v>
      </c>
      <c r="P27" s="4">
        <v>0</v>
      </c>
      <c r="Q27" s="4">
        <v>0</v>
      </c>
      <c r="R27" s="4">
        <v>0</v>
      </c>
      <c r="S27" s="4">
        <v>0</v>
      </c>
      <c r="T27" s="4">
        <v>0</v>
      </c>
      <c r="U27" s="4">
        <v>0</v>
      </c>
      <c r="V27" s="4">
        <v>0</v>
      </c>
      <c r="W27" s="4">
        <v>773.62683271019159</v>
      </c>
      <c r="X27" s="4">
        <v>782.03464268200753</v>
      </c>
    </row>
    <row r="28" spans="1:24" hidden="1" x14ac:dyDescent="0.35">
      <c r="A28" s="2" t="s">
        <v>90</v>
      </c>
      <c r="B28" s="2" t="str">
        <f>+VLOOKUP(A28,'HFM Codes'!$B$2:$C$432,2, FALSE)</f>
        <v>Merseyflex</v>
      </c>
      <c r="C28" s="2" t="str">
        <f>+VLOOKUP(A28,'HFM Codes'!$B$2:$E$432,4,FALSE)</f>
        <v>International Seals (excl Disposals)</v>
      </c>
      <c r="D28" s="2" t="str">
        <f>+VLOOKUP(A28,'HFM Codes'!$B$2:$D$432,3,FALSE)</f>
        <v>R&amp;G Industrial</v>
      </c>
      <c r="E28" s="4">
        <v>45.004927849072843</v>
      </c>
      <c r="F28" s="4">
        <v>90.340661387770581</v>
      </c>
      <c r="G28" s="4">
        <v>48.158649815000011</v>
      </c>
      <c r="H28" s="4">
        <v>1235.1104302197939</v>
      </c>
      <c r="I28" s="4">
        <v>99.629711093905499</v>
      </c>
      <c r="J28" s="4">
        <v>26.592738245209539</v>
      </c>
      <c r="K28" s="4">
        <v>496.1317279419136</v>
      </c>
      <c r="L28" s="4">
        <v>34.88226363326001</v>
      </c>
      <c r="M28" s="4">
        <v>42.561777855301159</v>
      </c>
      <c r="N28" s="4">
        <v>78.856703239999987</v>
      </c>
      <c r="O28" s="4">
        <v>64.944389057308726</v>
      </c>
      <c r="P28" s="4">
        <v>0</v>
      </c>
      <c r="Q28" s="4">
        <v>0</v>
      </c>
      <c r="R28" s="4">
        <v>0</v>
      </c>
      <c r="S28" s="4">
        <v>0.34970943552971934</v>
      </c>
      <c r="T28" s="4">
        <v>0</v>
      </c>
      <c r="U28" s="4">
        <v>0</v>
      </c>
      <c r="V28" s="4">
        <v>0</v>
      </c>
      <c r="W28" s="4">
        <v>2172.223028386295</v>
      </c>
      <c r="X28" s="4">
        <v>2214.4050399590656</v>
      </c>
    </row>
    <row r="29" spans="1:24" hidden="1" x14ac:dyDescent="0.35">
      <c r="A29" s="2" t="s">
        <v>16</v>
      </c>
      <c r="B29" s="2" t="str">
        <f>+VLOOKUP(A29,'HFM Codes'!$B$2:$C$432,2, FALSE)</f>
        <v>Master Robotics</v>
      </c>
      <c r="C29" s="2" t="str">
        <f>+VLOOKUP(A29,'HFM Codes'!$B$2:$E$432,4,FALSE)</f>
        <v>Controls</v>
      </c>
      <c r="D29" s="2" t="str">
        <f>+VLOOKUP(A29,'HFM Codes'!$B$2:$D$432,3,FALSE)</f>
        <v>TIE</v>
      </c>
      <c r="E29" s="4">
        <v>32.892946486248334</v>
      </c>
      <c r="F29" s="4">
        <v>15.505510569518316</v>
      </c>
      <c r="G29" s="4">
        <v>27.958672653150355</v>
      </c>
      <c r="H29" s="4">
        <v>609.62815836439563</v>
      </c>
      <c r="I29" s="4">
        <v>0</v>
      </c>
      <c r="J29" s="4">
        <v>12.928057223445606</v>
      </c>
      <c r="K29" s="4">
        <v>76.022624938392681</v>
      </c>
      <c r="L29" s="4">
        <v>16.599201463678657</v>
      </c>
      <c r="M29" s="4">
        <v>2.4344968522477175</v>
      </c>
      <c r="N29" s="4">
        <v>76.919225880000013</v>
      </c>
      <c r="O29" s="4">
        <v>7.2816950045311328</v>
      </c>
      <c r="P29" s="4">
        <v>0</v>
      </c>
      <c r="Q29" s="4">
        <v>0</v>
      </c>
      <c r="R29" s="4">
        <v>0</v>
      </c>
      <c r="S29" s="4">
        <v>0</v>
      </c>
      <c r="T29" s="4">
        <v>0</v>
      </c>
      <c r="U29" s="4">
        <v>0</v>
      </c>
      <c r="V29" s="4">
        <v>0</v>
      </c>
      <c r="W29" s="4">
        <v>862.66507886609008</v>
      </c>
      <c r="X29" s="4">
        <v>850.21191678245805</v>
      </c>
    </row>
    <row r="30" spans="1:24" hidden="1" x14ac:dyDescent="0.35">
      <c r="A30" s="2" t="s">
        <v>49</v>
      </c>
      <c r="B30" s="2" t="str">
        <f>+VLOOKUP(A30,'HFM Codes'!$B$2:$C$432,2, FALSE)</f>
        <v>S&amp;W - Denmark</v>
      </c>
      <c r="C30" s="2" t="str">
        <f>+VLOOKUP(A30,'HFM Codes'!$B$2:$E$432,4,FALSE)</f>
        <v>Life Sciences</v>
      </c>
      <c r="D30" s="2" t="str">
        <f>+VLOOKUP(A30,'HFM Codes'!$B$2:$D$432,3,FALSE)</f>
        <v>Life Sciences Nordics</v>
      </c>
      <c r="E30" s="4">
        <v>69.583191529999979</v>
      </c>
      <c r="F30" s="4">
        <v>58.382975315373422</v>
      </c>
      <c r="G30" s="4">
        <v>28.920977704921651</v>
      </c>
      <c r="H30" s="4">
        <v>2863.2553221692278</v>
      </c>
      <c r="I30" s="4">
        <v>34.156702700551463</v>
      </c>
      <c r="J30" s="4">
        <v>26.476384282602073</v>
      </c>
      <c r="K30" s="4">
        <v>165.19698638153889</v>
      </c>
      <c r="L30" s="4">
        <v>0.15239302091999998</v>
      </c>
      <c r="M30" s="4">
        <v>105.18752231012455</v>
      </c>
      <c r="N30" s="4">
        <v>72.968116760000015</v>
      </c>
      <c r="O30" s="4">
        <v>26.40640477485546</v>
      </c>
      <c r="P30" s="4">
        <v>0</v>
      </c>
      <c r="Q30" s="4">
        <v>0</v>
      </c>
      <c r="R30" s="4">
        <v>0</v>
      </c>
      <c r="S30" s="4">
        <v>0.45966792725996602</v>
      </c>
      <c r="T30" s="4">
        <v>0</v>
      </c>
      <c r="U30" s="4">
        <v>0</v>
      </c>
      <c r="V30" s="4">
        <v>0</v>
      </c>
      <c r="W30" s="4">
        <v>3392.7636695620022</v>
      </c>
      <c r="X30" s="4">
        <v>3422.225667172454</v>
      </c>
    </row>
    <row r="31" spans="1:24" hidden="1" x14ac:dyDescent="0.35">
      <c r="A31" s="2" t="s">
        <v>15</v>
      </c>
      <c r="B31" s="2" t="str">
        <f>+VLOOKUP(A31,'HFM Codes'!$B$2:$C$432,2, FALSE)</f>
        <v>R&amp;G Fluid Power Group Limited</v>
      </c>
      <c r="C31" s="2" t="str">
        <f>+VLOOKUP(A31,'HFM Codes'!$B$2:$E$432,4,FALSE)</f>
        <v>International Seals (excl Disposals)</v>
      </c>
      <c r="D31" s="2" t="str">
        <f>+VLOOKUP(A31,'HFM Codes'!$B$2:$D$432,3,FALSE)</f>
        <v>R&amp;G Fluid Power Group</v>
      </c>
      <c r="E31" s="4">
        <v>13.976011229999999</v>
      </c>
      <c r="F31" s="4">
        <v>4.741486175531163</v>
      </c>
      <c r="G31" s="4">
        <v>2.5275835799999999</v>
      </c>
      <c r="H31" s="4">
        <v>224.69234299646851</v>
      </c>
      <c r="I31" s="4">
        <v>63.06663393045568</v>
      </c>
      <c r="J31" s="4">
        <v>4.2506557416712871</v>
      </c>
      <c r="K31" s="4">
        <v>0</v>
      </c>
      <c r="L31" s="4">
        <v>0</v>
      </c>
      <c r="M31" s="4">
        <v>65.477325512152788</v>
      </c>
      <c r="N31" s="4">
        <v>72.051123863249998</v>
      </c>
      <c r="O31" s="4">
        <v>2.060649761211518</v>
      </c>
      <c r="P31" s="4">
        <v>0</v>
      </c>
      <c r="Q31" s="4">
        <v>0</v>
      </c>
      <c r="R31" s="4">
        <v>0</v>
      </c>
      <c r="S31" s="4">
        <v>0</v>
      </c>
      <c r="T31" s="4">
        <v>0</v>
      </c>
      <c r="U31" s="4">
        <v>0</v>
      </c>
      <c r="V31" s="4">
        <v>0</v>
      </c>
      <c r="W31" s="4">
        <v>448.10232661520973</v>
      </c>
      <c r="X31" s="4">
        <v>450.31622921074091</v>
      </c>
    </row>
    <row r="32" spans="1:24" hidden="1" x14ac:dyDescent="0.35">
      <c r="A32" s="2" t="s">
        <v>61</v>
      </c>
      <c r="B32" s="2" t="str">
        <f>+VLOOKUP(A32,'HFM Codes'!$B$2:$C$432,2, FALSE)</f>
        <v>M Seals - Denmark</v>
      </c>
      <c r="C32" s="2" t="str">
        <f>+VLOOKUP(A32,'HFM Codes'!$B$2:$E$432,4,FALSE)</f>
        <v>International Seals (excl Disposals)</v>
      </c>
      <c r="D32" s="2" t="str">
        <f>+VLOOKUP(A32,'HFM Codes'!$B$2:$D$432,3,FALSE)</f>
        <v>M Seals Europe</v>
      </c>
      <c r="E32" s="4">
        <v>47.568029920000001</v>
      </c>
      <c r="F32" s="4">
        <v>122.70358473029016</v>
      </c>
      <c r="G32" s="4">
        <v>57.624148468188636</v>
      </c>
      <c r="H32" s="4">
        <v>908.91211953541699</v>
      </c>
      <c r="I32" s="4">
        <v>132.03883063298375</v>
      </c>
      <c r="J32" s="4">
        <v>27.975270914323609</v>
      </c>
      <c r="K32" s="4">
        <v>571.27706360312072</v>
      </c>
      <c r="L32" s="4">
        <v>16.713785169000001</v>
      </c>
      <c r="M32" s="4">
        <v>54.764348516337265</v>
      </c>
      <c r="N32" s="4">
        <v>65.357196207692311</v>
      </c>
      <c r="O32" s="4">
        <v>76.724583745661477</v>
      </c>
      <c r="P32" s="4">
        <v>0</v>
      </c>
      <c r="Q32" s="4">
        <v>0</v>
      </c>
      <c r="R32" s="4">
        <v>0</v>
      </c>
      <c r="S32" s="4">
        <v>0.31753577715351344</v>
      </c>
      <c r="T32" s="4">
        <v>0</v>
      </c>
      <c r="U32" s="4">
        <v>0</v>
      </c>
      <c r="V32" s="4">
        <v>0</v>
      </c>
      <c r="W32" s="4">
        <v>1959.2729124898785</v>
      </c>
      <c r="X32" s="4">
        <v>2024.3523487519801</v>
      </c>
    </row>
    <row r="33" spans="1:24" hidden="1" x14ac:dyDescent="0.35">
      <c r="A33" s="2" t="s">
        <v>71</v>
      </c>
      <c r="B33" s="2" t="str">
        <f>+VLOOKUP(A33,'HFM Codes'!$B$2:$C$432,2, FALSE)</f>
        <v>DMR Seals</v>
      </c>
      <c r="C33" s="2" t="str">
        <f>+VLOOKUP(A33,'HFM Codes'!$B$2:$E$432,4,FALSE)</f>
        <v>International Seals (excl Disposals)</v>
      </c>
      <c r="D33" s="2" t="str">
        <f>+VLOOKUP(A33,'HFM Codes'!$B$2:$D$432,3,FALSE)</f>
        <v>M Seals UK</v>
      </c>
      <c r="E33" s="4">
        <v>10.318549245</v>
      </c>
      <c r="F33" s="4">
        <v>73.349182364231211</v>
      </c>
      <c r="G33" s="4">
        <v>39.100860381500006</v>
      </c>
      <c r="H33" s="4">
        <v>187.39171351776463</v>
      </c>
      <c r="I33" s="4">
        <v>72.225444224580016</v>
      </c>
      <c r="J33" s="4">
        <v>15.27742821018829</v>
      </c>
      <c r="K33" s="4">
        <v>125.57420286832131</v>
      </c>
      <c r="L33" s="4">
        <v>8.8947533841373989</v>
      </c>
      <c r="M33" s="4">
        <v>6.3758635306923779</v>
      </c>
      <c r="N33" s="4">
        <v>64.36320671899999</v>
      </c>
      <c r="O33" s="4">
        <v>12.375314204153197</v>
      </c>
      <c r="P33" s="4">
        <v>0</v>
      </c>
      <c r="Q33" s="4">
        <v>0</v>
      </c>
      <c r="R33" s="4">
        <v>0</v>
      </c>
      <c r="S33" s="4">
        <v>0</v>
      </c>
      <c r="T33" s="4">
        <v>0</v>
      </c>
      <c r="U33" s="4">
        <v>0</v>
      </c>
      <c r="V33" s="4">
        <v>0</v>
      </c>
      <c r="W33" s="4">
        <v>541.89733628533725</v>
      </c>
      <c r="X33" s="4">
        <v>576.14565826806847</v>
      </c>
    </row>
    <row r="34" spans="1:24" hidden="1" x14ac:dyDescent="0.35">
      <c r="A34" s="2" t="s">
        <v>108</v>
      </c>
      <c r="B34" s="2" t="str">
        <f>+VLOOKUP(A34,'HFM Codes'!$B$2:$C$432,2, FALSE)</f>
        <v>Techsil Ltd</v>
      </c>
      <c r="C34" s="2" t="str">
        <f>+VLOOKUP(A34,'HFM Codes'!$B$2:$E$432,4,FALSE)</f>
        <v>Controls</v>
      </c>
      <c r="D34" s="2" t="str">
        <f>+VLOOKUP(A34,'HFM Codes'!$B$2:$D$432,3,FALSE)</f>
        <v>Techsil</v>
      </c>
      <c r="E34" s="4">
        <v>12.826717200000001</v>
      </c>
      <c r="F34" s="4">
        <v>37.936627938551005</v>
      </c>
      <c r="G34" s="4">
        <v>20.22319465</v>
      </c>
      <c r="H34" s="4">
        <v>1719.6160165074748</v>
      </c>
      <c r="I34" s="4">
        <v>38.851851146084407</v>
      </c>
      <c r="J34" s="4">
        <v>9.6359794210794529</v>
      </c>
      <c r="K34" s="4">
        <v>379.27780278099999</v>
      </c>
      <c r="L34" s="4">
        <v>0.14328354410999999</v>
      </c>
      <c r="M34" s="4">
        <v>36.960135170127174</v>
      </c>
      <c r="N34" s="4">
        <v>62.707790210624992</v>
      </c>
      <c r="O34" s="4">
        <v>15.992136974548806</v>
      </c>
      <c r="P34" s="4">
        <v>0</v>
      </c>
      <c r="Q34" s="4">
        <v>0</v>
      </c>
      <c r="R34" s="4">
        <v>0</v>
      </c>
      <c r="S34" s="4">
        <v>0.48691386891523586</v>
      </c>
      <c r="T34" s="4">
        <v>0</v>
      </c>
      <c r="U34" s="4">
        <v>0</v>
      </c>
      <c r="V34" s="4">
        <v>0</v>
      </c>
      <c r="W34" s="4">
        <v>2296.7218214739646</v>
      </c>
      <c r="X34" s="4">
        <v>2314.4352547625153</v>
      </c>
    </row>
    <row r="35" spans="1:24" hidden="1" x14ac:dyDescent="0.35">
      <c r="A35" s="2" t="s">
        <v>81</v>
      </c>
      <c r="B35" s="2" t="str">
        <f>+VLOOKUP(A35,'HFM Codes'!$B$2:$C$432,2, FALSE)</f>
        <v>Hyphose</v>
      </c>
      <c r="C35" s="2" t="str">
        <f>+VLOOKUP(A35,'HFM Codes'!$B$2:$E$432,4,FALSE)</f>
        <v>International Seals (excl Disposals)</v>
      </c>
      <c r="D35" s="2" t="str">
        <f>+VLOOKUP(A35,'HFM Codes'!$B$2:$D$432,3,FALSE)</f>
        <v>R&amp;G Hydraulics</v>
      </c>
      <c r="E35" s="4">
        <v>116.67087114970001</v>
      </c>
      <c r="F35" s="4">
        <v>21.965864159999263</v>
      </c>
      <c r="G35" s="4">
        <v>11.709526405000002</v>
      </c>
      <c r="H35" s="4">
        <v>327.9224018300331</v>
      </c>
      <c r="I35" s="4">
        <v>21.975727115273081</v>
      </c>
      <c r="J35" s="4">
        <v>31.300350572564621</v>
      </c>
      <c r="K35" s="4">
        <v>37.480555821498633</v>
      </c>
      <c r="L35" s="4">
        <v>7.6933730610000001E-2</v>
      </c>
      <c r="M35" s="4">
        <v>50.093367614387148</v>
      </c>
      <c r="N35" s="4">
        <v>62.159937143684211</v>
      </c>
      <c r="O35" s="4">
        <v>10.467294798620337</v>
      </c>
      <c r="P35" s="4">
        <v>0</v>
      </c>
      <c r="Q35" s="4">
        <v>0</v>
      </c>
      <c r="R35" s="4">
        <v>0</v>
      </c>
      <c r="S35" s="4">
        <v>0</v>
      </c>
      <c r="T35" s="4">
        <v>0</v>
      </c>
      <c r="U35" s="4">
        <v>0</v>
      </c>
      <c r="V35" s="4">
        <v>0</v>
      </c>
      <c r="W35" s="4">
        <v>669.85696618137115</v>
      </c>
      <c r="X35" s="4">
        <v>680.11330393637036</v>
      </c>
    </row>
    <row r="36" spans="1:24" hidden="1" x14ac:dyDescent="0.35">
      <c r="A36" s="2" t="s">
        <v>59</v>
      </c>
      <c r="B36" s="2" t="str">
        <f>+VLOOKUP(A36,'HFM Codes'!$B$2:$C$432,2, FALSE)</f>
        <v>FPE Seals Ltd</v>
      </c>
      <c r="C36" s="2" t="str">
        <f>+VLOOKUP(A36,'HFM Codes'!$B$2:$E$432,4,FALSE)</f>
        <v>International Seals (excl Disposals)</v>
      </c>
      <c r="D36" s="2" t="str">
        <f>+VLOOKUP(A36,'HFM Codes'!$B$2:$D$432,3,FALSE)</f>
        <v>R&amp;G Seals and Gaskets</v>
      </c>
      <c r="E36" s="4">
        <v>21.213637838</v>
      </c>
      <c r="F36" s="4">
        <v>71.001296878404588</v>
      </c>
      <c r="G36" s="4">
        <v>37.849253484000002</v>
      </c>
      <c r="H36" s="4">
        <v>621.34634487565279</v>
      </c>
      <c r="I36" s="4">
        <v>0</v>
      </c>
      <c r="J36" s="4">
        <v>16.546572608662835</v>
      </c>
      <c r="K36" s="4">
        <v>518.01846983275345</v>
      </c>
      <c r="L36" s="4">
        <v>0.17067704223150001</v>
      </c>
      <c r="M36" s="4">
        <v>16.715898722469021</v>
      </c>
      <c r="N36" s="4">
        <v>56.178115572727286</v>
      </c>
      <c r="O36" s="4">
        <v>35.284908740744186</v>
      </c>
      <c r="P36" s="4">
        <v>0</v>
      </c>
      <c r="Q36" s="4">
        <v>0</v>
      </c>
      <c r="R36" s="4">
        <v>0</v>
      </c>
      <c r="S36" s="4">
        <v>0.57834578757295885</v>
      </c>
      <c r="T36" s="4">
        <v>0</v>
      </c>
      <c r="U36" s="4">
        <v>0</v>
      </c>
      <c r="V36" s="4">
        <v>0</v>
      </c>
      <c r="W36" s="4">
        <v>1323.9022245048143</v>
      </c>
      <c r="X36" s="4">
        <v>1357.054267899219</v>
      </c>
    </row>
    <row r="37" spans="1:24" hidden="1" x14ac:dyDescent="0.35">
      <c r="A37" s="2" t="s">
        <v>55</v>
      </c>
      <c r="B37" s="2" t="str">
        <f>+VLOOKUP(A37,'HFM Codes'!$B$2:$C$432,2, FALSE)</f>
        <v>Hercules Canada - Barrie</v>
      </c>
      <c r="C37" s="2" t="str">
        <f>+VLOOKUP(A37,'HFM Codes'!$B$2:$E$432,4,FALSE)</f>
        <v>North American Seals</v>
      </c>
      <c r="D37" s="2" t="str">
        <f>+VLOOKUP(A37,'HFM Codes'!$B$2:$D$432,3,FALSE)</f>
        <v>Aftermarket</v>
      </c>
      <c r="E37" s="4">
        <v>1.76365924673734</v>
      </c>
      <c r="F37" s="4">
        <v>10.395672828</v>
      </c>
      <c r="G37" s="4">
        <v>10.395672828</v>
      </c>
      <c r="H37" s="4">
        <v>1036.6032793325569</v>
      </c>
      <c r="I37" s="4">
        <v>3.0406871221688614</v>
      </c>
      <c r="J37" s="4">
        <v>3.4414830928992046</v>
      </c>
      <c r="K37" s="4">
        <v>439.55135640765315</v>
      </c>
      <c r="L37" s="4">
        <v>3.8490408687</v>
      </c>
      <c r="M37" s="4">
        <v>36.462516390307769</v>
      </c>
      <c r="N37" s="4">
        <v>51.634636704000002</v>
      </c>
      <c r="O37" s="4">
        <v>26.582746112751899</v>
      </c>
      <c r="P37" s="4">
        <v>0</v>
      </c>
      <c r="Q37" s="4">
        <v>0</v>
      </c>
      <c r="R37" s="4">
        <v>0</v>
      </c>
      <c r="S37" s="4">
        <v>0.35103609208362069</v>
      </c>
      <c r="T37" s="4">
        <v>0</v>
      </c>
      <c r="U37" s="4">
        <v>0</v>
      </c>
      <c r="V37" s="4">
        <v>0</v>
      </c>
      <c r="W37" s="4">
        <v>1613.6761141978589</v>
      </c>
      <c r="X37" s="4">
        <v>1613.6761141978589</v>
      </c>
    </row>
    <row r="38" spans="1:24" hidden="1" x14ac:dyDescent="0.35">
      <c r="A38" s="2" t="s">
        <v>20</v>
      </c>
      <c r="B38" s="2" t="str">
        <f>+VLOOKUP(A38,'HFM Codes'!$B$2:$C$432,2, FALSE)</f>
        <v>GP&amp;S</v>
      </c>
      <c r="C38" s="2" t="str">
        <f>+VLOOKUP(A38,'HFM Codes'!$B$2:$E$432,4,FALSE)</f>
        <v>North American Seals</v>
      </c>
      <c r="D38" s="2" t="str">
        <f>+VLOOKUP(A38,'HFM Codes'!$B$2:$D$432,3,FALSE)</f>
        <v>VSP group</v>
      </c>
      <c r="E38" s="4">
        <v>84.361255332098622</v>
      </c>
      <c r="F38" s="4">
        <v>60.466327034387973</v>
      </c>
      <c r="G38" s="4">
        <v>59.326055263970503</v>
      </c>
      <c r="H38" s="4">
        <v>1360.1896356433556</v>
      </c>
      <c r="I38" s="4">
        <v>0</v>
      </c>
      <c r="J38" s="4">
        <v>39.60803540907505</v>
      </c>
      <c r="K38" s="4">
        <v>550.75081615453462</v>
      </c>
      <c r="L38" s="4">
        <v>9.7575787092000006</v>
      </c>
      <c r="M38" s="4">
        <v>11.174609886650238</v>
      </c>
      <c r="N38" s="4">
        <v>48.245208029971856</v>
      </c>
      <c r="O38" s="4">
        <v>31.267139331245879</v>
      </c>
      <c r="P38" s="4">
        <v>0</v>
      </c>
      <c r="Q38" s="4">
        <v>0</v>
      </c>
      <c r="R38" s="4">
        <v>0</v>
      </c>
      <c r="S38" s="4">
        <v>0</v>
      </c>
      <c r="T38" s="4">
        <v>0</v>
      </c>
      <c r="U38" s="4">
        <v>0</v>
      </c>
      <c r="V38" s="4">
        <v>0</v>
      </c>
      <c r="W38" s="4">
        <v>2194.6803337601018</v>
      </c>
      <c r="X38" s="4">
        <v>2195.8206055305195</v>
      </c>
    </row>
    <row r="39" spans="1:24" hidden="1" x14ac:dyDescent="0.35">
      <c r="A39" s="2" t="s">
        <v>40</v>
      </c>
      <c r="B39" s="2" t="str">
        <f>+VLOOKUP(A39,'HFM Codes'!$B$2:$C$432,2, FALSE)</f>
        <v>Filcon GmbH</v>
      </c>
      <c r="C39" s="2" t="str">
        <f>+VLOOKUP(A39,'HFM Codes'!$B$2:$E$432,4,FALSE)</f>
        <v>Controls</v>
      </c>
      <c r="D39" s="2" t="str">
        <f>+VLOOKUP(A39,'HFM Codes'!$B$2:$D$432,3,FALSE)</f>
        <v>ISG</v>
      </c>
      <c r="E39" s="4">
        <v>22.5048365</v>
      </c>
      <c r="F39" s="4">
        <v>3.4612580496507412</v>
      </c>
      <c r="G39" s="4">
        <v>11.775398740000002</v>
      </c>
      <c r="H39" s="4">
        <v>2160.1080737988837</v>
      </c>
      <c r="I39" s="4">
        <v>3.3563668915127343</v>
      </c>
      <c r="J39" s="4">
        <v>8.0468178990494454</v>
      </c>
      <c r="K39" s="4">
        <v>70.38</v>
      </c>
      <c r="L39" s="4">
        <v>6.6404452740000008E-2</v>
      </c>
      <c r="M39" s="4">
        <v>11.306089438784106</v>
      </c>
      <c r="N39" s="4">
        <v>44.061719843076929</v>
      </c>
      <c r="O39" s="4">
        <v>9.7738498821916995</v>
      </c>
      <c r="P39" s="4">
        <v>0</v>
      </c>
      <c r="Q39" s="4">
        <v>0</v>
      </c>
      <c r="R39" s="4">
        <v>0</v>
      </c>
      <c r="S39" s="4">
        <v>6.2500774181284371E-2</v>
      </c>
      <c r="T39" s="4">
        <v>0</v>
      </c>
      <c r="U39" s="4">
        <v>0</v>
      </c>
      <c r="V39" s="4">
        <v>0</v>
      </c>
      <c r="W39" s="4">
        <v>2341.4420582204198</v>
      </c>
      <c r="X39" s="4">
        <v>2333.1279175300706</v>
      </c>
    </row>
    <row r="40" spans="1:24" hidden="1" x14ac:dyDescent="0.35">
      <c r="A40" s="2" t="s">
        <v>56</v>
      </c>
      <c r="B40" s="2" t="str">
        <f>+VLOOKUP(A40,'HFM Codes'!$B$2:$C$432,2, FALSE)</f>
        <v>Hercules Canada - Montreal</v>
      </c>
      <c r="C40" s="2" t="str">
        <f>+VLOOKUP(A40,'HFM Codes'!$B$2:$E$432,4,FALSE)</f>
        <v>North American Seals</v>
      </c>
      <c r="D40" s="2" t="str">
        <f>+VLOOKUP(A40,'HFM Codes'!$B$2:$D$432,3,FALSE)</f>
        <v>Aftermarket</v>
      </c>
      <c r="E40" s="4">
        <v>0.23839807749001291</v>
      </c>
      <c r="F40" s="4">
        <v>13.879194989999998</v>
      </c>
      <c r="G40" s="4">
        <v>13.879194989999998</v>
      </c>
      <c r="H40" s="4">
        <v>1233.7951380767706</v>
      </c>
      <c r="I40" s="4">
        <v>0.9893167604033436</v>
      </c>
      <c r="J40" s="4">
        <v>4.2464453402704265</v>
      </c>
      <c r="K40" s="4">
        <v>320.5579915223741</v>
      </c>
      <c r="L40" s="4">
        <v>3.6754288955000005</v>
      </c>
      <c r="M40" s="4">
        <v>21.232442859912773</v>
      </c>
      <c r="N40" s="4">
        <v>40.036995103636364</v>
      </c>
      <c r="O40" s="4">
        <v>16.098465037360512</v>
      </c>
      <c r="P40" s="4">
        <v>0</v>
      </c>
      <c r="Q40" s="4">
        <v>0</v>
      </c>
      <c r="R40" s="4">
        <v>0</v>
      </c>
      <c r="S40" s="4">
        <v>0.16503497529754782</v>
      </c>
      <c r="T40" s="4">
        <v>0</v>
      </c>
      <c r="U40" s="4">
        <v>0</v>
      </c>
      <c r="V40" s="4">
        <v>0</v>
      </c>
      <c r="W40" s="4">
        <v>1654.914851639016</v>
      </c>
      <c r="X40" s="4">
        <v>1654.914851639016</v>
      </c>
    </row>
    <row r="41" spans="1:24" hidden="1" x14ac:dyDescent="0.35">
      <c r="A41" s="2" t="s">
        <v>22</v>
      </c>
      <c r="B41" s="2" t="str">
        <f>+VLOOKUP(A41,'HFM Codes'!$B$2:$C$432,2, FALSE)</f>
        <v>Fluid Power Services Limited</v>
      </c>
      <c r="C41" s="2" t="str">
        <f>+VLOOKUP(A41,'HFM Codes'!$B$2:$E$432,4,FALSE)</f>
        <v>International Seals (excl Disposals)</v>
      </c>
      <c r="D41" s="2" t="str">
        <f>+VLOOKUP(A41,'HFM Codes'!$B$2:$D$432,3,FALSE)</f>
        <v>R&amp;G Hydraulics</v>
      </c>
      <c r="E41" s="4">
        <v>53.2791660233</v>
      </c>
      <c r="F41" s="4">
        <v>25.292987179495537</v>
      </c>
      <c r="G41" s="4">
        <v>13.4831436215</v>
      </c>
      <c r="H41" s="4">
        <v>344.19156920482601</v>
      </c>
      <c r="I41" s="4">
        <v>6.9732392779018557</v>
      </c>
      <c r="J41" s="4">
        <v>15.03799781471055</v>
      </c>
      <c r="K41" s="4">
        <v>28.959928284496211</v>
      </c>
      <c r="L41" s="4">
        <v>5.6302208022599998E-2</v>
      </c>
      <c r="M41" s="4">
        <v>17.977317818090143</v>
      </c>
      <c r="N41" s="4">
        <v>39.995232162199997</v>
      </c>
      <c r="O41" s="4">
        <v>20.173696527749588</v>
      </c>
      <c r="P41" s="4">
        <v>0</v>
      </c>
      <c r="Q41" s="4">
        <v>0</v>
      </c>
      <c r="R41" s="4">
        <v>0</v>
      </c>
      <c r="S41" s="4">
        <v>0</v>
      </c>
      <c r="T41" s="4">
        <v>0</v>
      </c>
      <c r="U41" s="4">
        <v>0</v>
      </c>
      <c r="V41" s="4">
        <v>0</v>
      </c>
      <c r="W41" s="4">
        <v>540.12759294279704</v>
      </c>
      <c r="X41" s="4">
        <v>551.9374365007925</v>
      </c>
    </row>
    <row r="42" spans="1:24" hidden="1" x14ac:dyDescent="0.35">
      <c r="A42" s="2" t="s">
        <v>72</v>
      </c>
      <c r="B42" s="2" t="str">
        <f>+VLOOKUP(A42,'HFM Codes'!$B$2:$C$432,2, FALSE)</f>
        <v>LJR Electronics</v>
      </c>
      <c r="C42" s="2" t="str">
        <f>+VLOOKUP(A42,'HFM Codes'!$B$2:$E$432,4,FALSE)</f>
        <v>Controls</v>
      </c>
      <c r="D42" s="2" t="str">
        <f>+VLOOKUP(A42,'HFM Codes'!$B$2:$D$432,3,FALSE)</f>
        <v>ISG</v>
      </c>
      <c r="E42" s="4">
        <v>0.42302361530484095</v>
      </c>
      <c r="F42" s="4">
        <v>17.376125136347238</v>
      </c>
      <c r="G42" s="4">
        <v>17.048446807862856</v>
      </c>
      <c r="H42" s="4">
        <v>1785.7580628440717</v>
      </c>
      <c r="I42" s="4">
        <v>46.045781404485602</v>
      </c>
      <c r="J42" s="4">
        <v>5.6239786982628264</v>
      </c>
      <c r="K42" s="4">
        <v>313.85159992266756</v>
      </c>
      <c r="L42" s="4">
        <v>6.2961991810610396</v>
      </c>
      <c r="M42" s="4">
        <v>37.397679348113385</v>
      </c>
      <c r="N42" s="4">
        <v>38.467200734117654</v>
      </c>
      <c r="O42" s="4">
        <v>20.802004305556039</v>
      </c>
      <c r="P42" s="4">
        <v>0</v>
      </c>
      <c r="Q42" s="4">
        <v>0</v>
      </c>
      <c r="R42" s="4">
        <v>0</v>
      </c>
      <c r="S42" s="4">
        <v>0.22195173659367937</v>
      </c>
      <c r="T42" s="4">
        <v>0</v>
      </c>
      <c r="U42" s="4">
        <v>0</v>
      </c>
      <c r="V42" s="4">
        <v>0</v>
      </c>
      <c r="W42" s="4">
        <v>2271.9359285980977</v>
      </c>
      <c r="X42" s="4">
        <v>2272.2636069265818</v>
      </c>
    </row>
    <row r="43" spans="1:24" hidden="1" x14ac:dyDescent="0.35">
      <c r="A43" s="2" t="s">
        <v>66</v>
      </c>
      <c r="B43" s="2" t="str">
        <f>+VLOOKUP(A43,'HFM Codes'!$B$2:$C$432,2, FALSE)</f>
        <v>Kubo Tech Austria</v>
      </c>
      <c r="C43" s="2" t="str">
        <f>+VLOOKUP(A43,'HFM Codes'!$B$2:$E$432,4,FALSE)</f>
        <v>International Seals</v>
      </c>
      <c r="D43" s="2" t="str">
        <f>+VLOOKUP(A43,'HFM Codes'!$B$2:$D$432,3,FALSE)</f>
        <v>International Seals- Disposal</v>
      </c>
      <c r="E43" s="4">
        <v>16.293484620000001</v>
      </c>
      <c r="F43" s="4">
        <v>25.573495499955602</v>
      </c>
      <c r="G43" s="4">
        <v>25.573495499955602</v>
      </c>
      <c r="H43" s="4">
        <v>859.01724900947613</v>
      </c>
      <c r="I43" s="4">
        <v>3.1111981748795889</v>
      </c>
      <c r="J43" s="4">
        <v>10.850960741430365</v>
      </c>
      <c r="K43" s="4">
        <v>-29.480305989539733</v>
      </c>
      <c r="L43" s="4">
        <v>0</v>
      </c>
      <c r="M43" s="4">
        <v>23.838329895859296</v>
      </c>
      <c r="N43" s="4">
        <v>36.964505340000002</v>
      </c>
      <c r="O43" s="4">
        <v>20.096701152933715</v>
      </c>
      <c r="P43" s="4">
        <v>0</v>
      </c>
      <c r="Q43" s="4">
        <v>0</v>
      </c>
      <c r="R43" s="4">
        <v>0</v>
      </c>
      <c r="S43" s="4">
        <v>7.3636837679721887E-2</v>
      </c>
      <c r="T43" s="4">
        <v>0</v>
      </c>
      <c r="U43" s="4">
        <v>0</v>
      </c>
      <c r="V43" s="4">
        <v>0</v>
      </c>
      <c r="W43" s="4">
        <v>966.33925528267469</v>
      </c>
      <c r="X43" s="4">
        <v>966.33925528267469</v>
      </c>
    </row>
    <row r="44" spans="1:24" hidden="1" x14ac:dyDescent="0.35">
      <c r="A44" s="2" t="s">
        <v>75</v>
      </c>
      <c r="B44" s="2" t="str">
        <f>+VLOOKUP(A44,'HFM Codes'!$B$2:$C$432,2, FALSE)</f>
        <v>Kungshusen</v>
      </c>
      <c r="C44" s="2" t="str">
        <f>+VLOOKUP(A44,'HFM Codes'!$B$2:$E$432,4,FALSE)</f>
        <v>Life Sciences</v>
      </c>
      <c r="D44" s="2" t="str">
        <f>+VLOOKUP(A44,'HFM Codes'!$B$2:$D$432,3,FALSE)</f>
        <v>Life Sciences Nordics</v>
      </c>
      <c r="E44" s="4">
        <v>27.955154479999997</v>
      </c>
      <c r="F44" s="4">
        <v>6.3703896751005207</v>
      </c>
      <c r="G44" s="4">
        <v>1.0549680000000001</v>
      </c>
      <c r="H44" s="4">
        <v>2567.1050573727821</v>
      </c>
      <c r="I44" s="4">
        <v>60.9127703878506</v>
      </c>
      <c r="J44" s="4">
        <v>8.0489320397774744</v>
      </c>
      <c r="K44" s="4">
        <v>219.56350113433479</v>
      </c>
      <c r="L44" s="4">
        <v>3.5412209639999997E-2</v>
      </c>
      <c r="M44" s="4">
        <v>79.236526297225808</v>
      </c>
      <c r="N44" s="4">
        <v>35.541673230000001</v>
      </c>
      <c r="O44" s="4">
        <v>27.675826110340097</v>
      </c>
      <c r="P44" s="4">
        <v>0</v>
      </c>
      <c r="Q44" s="4">
        <v>0</v>
      </c>
      <c r="R44" s="4">
        <v>0</v>
      </c>
      <c r="S44" s="4">
        <v>0.17039275335003712</v>
      </c>
      <c r="T44" s="4">
        <v>0</v>
      </c>
      <c r="U44" s="4">
        <v>0</v>
      </c>
      <c r="V44" s="4">
        <v>0</v>
      </c>
      <c r="W44" s="4">
        <v>3027.3002140153008</v>
      </c>
      <c r="X44" s="4">
        <v>3032.6156356904012</v>
      </c>
    </row>
    <row r="45" spans="1:24" hidden="1" x14ac:dyDescent="0.35">
      <c r="A45" s="2" t="s">
        <v>37</v>
      </c>
      <c r="B45" s="2" t="str">
        <f>+VLOOKUP(A45,'HFM Codes'!$B$2:$C$432,2, FALSE)</f>
        <v>Gremtek SAS</v>
      </c>
      <c r="C45" s="2" t="str">
        <f>+VLOOKUP(A45,'HFM Codes'!$B$2:$E$432,4,FALSE)</f>
        <v>Controls</v>
      </c>
      <c r="D45" s="2" t="str">
        <f>+VLOOKUP(A45,'HFM Codes'!$B$2:$D$432,3,FALSE)</f>
        <v>Controls Disposal</v>
      </c>
      <c r="E45" s="4">
        <v>41.879823146666666</v>
      </c>
      <c r="F45" s="4">
        <v>4.4504834026045783</v>
      </c>
      <c r="G45" s="4">
        <v>7.0017711999999985</v>
      </c>
      <c r="H45" s="4">
        <v>745.37166583687588</v>
      </c>
      <c r="I45" s="4">
        <v>3.1755286126140341</v>
      </c>
      <c r="J45" s="4">
        <v>13.235116195616373</v>
      </c>
      <c r="K45" s="4">
        <v>211.37554443440962</v>
      </c>
      <c r="L45" s="4">
        <v>0.35617990221000001</v>
      </c>
      <c r="M45" s="4">
        <v>19.62766169448118</v>
      </c>
      <c r="N45" s="4">
        <v>35.473984874999992</v>
      </c>
      <c r="O45" s="4">
        <v>45.555480076855581</v>
      </c>
      <c r="P45" s="4">
        <v>0</v>
      </c>
      <c r="Q45" s="4">
        <v>0</v>
      </c>
      <c r="R45" s="4">
        <v>0</v>
      </c>
      <c r="S45" s="4">
        <v>0.25985901792686072</v>
      </c>
      <c r="T45" s="4">
        <v>0</v>
      </c>
      <c r="U45" s="4">
        <v>0</v>
      </c>
      <c r="V45" s="4">
        <v>0</v>
      </c>
      <c r="W45" s="4">
        <v>1123.3126149926559</v>
      </c>
      <c r="X45" s="4">
        <v>1120.7613271952605</v>
      </c>
    </row>
    <row r="46" spans="1:24" hidden="1" x14ac:dyDescent="0.35">
      <c r="A46" s="2" t="s">
        <v>88</v>
      </c>
      <c r="B46" s="2" t="str">
        <f>+VLOOKUP(A46,'HFM Codes'!$B$2:$C$432,2, FALSE)</f>
        <v>Century Hose &amp; Couplings</v>
      </c>
      <c r="C46" s="2" t="str">
        <f>+VLOOKUP(A46,'HFM Codes'!$B$2:$E$432,4,FALSE)</f>
        <v>International Seals (excl Disposals)</v>
      </c>
      <c r="D46" s="2" t="str">
        <f>+VLOOKUP(A46,'HFM Codes'!$B$2:$D$432,3,FALSE)</f>
        <v>R&amp;G Industrial</v>
      </c>
      <c r="E46" s="4">
        <v>1.1139372604000002</v>
      </c>
      <c r="F46" s="4">
        <v>25.150547615195229</v>
      </c>
      <c r="G46" s="4">
        <v>13.407212175000007</v>
      </c>
      <c r="H46" s="4">
        <v>699.80878834667533</v>
      </c>
      <c r="I46" s="4">
        <v>0.52626622429525116</v>
      </c>
      <c r="J46" s="4">
        <v>4.718934708857959</v>
      </c>
      <c r="K46" s="4">
        <v>612.3270020114029</v>
      </c>
      <c r="L46" s="4">
        <v>11.211539007649865</v>
      </c>
      <c r="M46" s="4">
        <v>23.806849569176237</v>
      </c>
      <c r="N46" s="4">
        <v>34.527686274666664</v>
      </c>
      <c r="O46" s="4">
        <v>39.344856845688547</v>
      </c>
      <c r="P46" s="4">
        <v>0</v>
      </c>
      <c r="Q46" s="4">
        <v>0</v>
      </c>
      <c r="R46" s="4">
        <v>0</v>
      </c>
      <c r="S46" s="4">
        <v>0</v>
      </c>
      <c r="T46" s="4">
        <v>0</v>
      </c>
      <c r="U46" s="4">
        <v>0</v>
      </c>
      <c r="V46" s="4">
        <v>0</v>
      </c>
      <c r="W46" s="4">
        <v>1440.7930724238129</v>
      </c>
      <c r="X46" s="4">
        <v>1452.536407864008</v>
      </c>
    </row>
    <row r="47" spans="1:24" hidden="1" x14ac:dyDescent="0.35">
      <c r="A47" s="2" t="s">
        <v>64</v>
      </c>
      <c r="B47" s="2" t="str">
        <f>+VLOOKUP(A47,'HFM Codes'!$B$2:$C$432,2, FALSE)</f>
        <v>LEICS Technical Distribution</v>
      </c>
      <c r="C47" s="2" t="str">
        <f>+VLOOKUP(A47,'HFM Codes'!$B$2:$E$432,4,FALSE)</f>
        <v>International Seals (excl Disposals)</v>
      </c>
      <c r="D47" s="2" t="str">
        <f>+VLOOKUP(A47,'HFM Codes'!$B$2:$D$432,3,FALSE)</f>
        <v>M Seals UK</v>
      </c>
      <c r="E47" s="4">
        <v>9.0207752499999998</v>
      </c>
      <c r="F47" s="4">
        <v>26.088769638843569</v>
      </c>
      <c r="G47" s="4">
        <v>13.907358014000001</v>
      </c>
      <c r="H47" s="4">
        <v>435.97490529337097</v>
      </c>
      <c r="I47" s="4">
        <v>0</v>
      </c>
      <c r="J47" s="4">
        <v>7.0339858998237119</v>
      </c>
      <c r="K47" s="4">
        <v>166.34940251507004</v>
      </c>
      <c r="L47" s="4">
        <v>0.31287777592399996</v>
      </c>
      <c r="M47" s="4">
        <v>4.446115469181577</v>
      </c>
      <c r="N47" s="4">
        <v>33.657907359999996</v>
      </c>
      <c r="O47" s="4">
        <v>15.914858458107155</v>
      </c>
      <c r="P47" s="4">
        <v>0</v>
      </c>
      <c r="Q47" s="4">
        <v>0</v>
      </c>
      <c r="R47" s="4">
        <v>0</v>
      </c>
      <c r="S47" s="4">
        <v>0.13169041790899164</v>
      </c>
      <c r="T47" s="4">
        <v>0</v>
      </c>
      <c r="U47" s="4">
        <v>0</v>
      </c>
      <c r="V47" s="4">
        <v>0</v>
      </c>
      <c r="W47" s="4">
        <v>686.74987645338638</v>
      </c>
      <c r="X47" s="4">
        <v>698.93128807822995</v>
      </c>
    </row>
    <row r="48" spans="1:24" hidden="1" x14ac:dyDescent="0.35">
      <c r="A48" s="2" t="s">
        <v>73</v>
      </c>
      <c r="B48" s="2" t="str">
        <f>+VLOOKUP(A48,'HFM Codes'!$B$2:$C$432,2, FALSE)</f>
        <v>Diploma Holdings PLC</v>
      </c>
      <c r="C48" s="2" t="str">
        <f>+VLOOKUP(A48,'HFM Codes'!$B$2:$E$432,4,FALSE)</f>
        <v>Head Office</v>
      </c>
      <c r="D48" s="2" t="str">
        <f>+VLOOKUP(A48,'HFM Codes'!$B$2:$D$432,3,FALSE)</f>
        <v>Head Office</v>
      </c>
      <c r="E48" s="4">
        <v>0</v>
      </c>
      <c r="F48" s="4">
        <v>29.780134468404999</v>
      </c>
      <c r="G48" s="4">
        <v>15.875144649999999</v>
      </c>
      <c r="H48" s="4">
        <v>1311.5468238873329</v>
      </c>
      <c r="I48" s="4">
        <v>28.866299097814004</v>
      </c>
      <c r="J48" s="4">
        <v>5.3588626823546406</v>
      </c>
      <c r="K48" s="4">
        <v>0</v>
      </c>
      <c r="L48" s="4">
        <v>0.42990366880500003</v>
      </c>
      <c r="M48" s="4">
        <v>845.83811096766726</v>
      </c>
      <c r="N48" s="4">
        <v>30.501763781621619</v>
      </c>
      <c r="O48" s="4">
        <v>61.668559862439125</v>
      </c>
      <c r="P48" s="4">
        <v>0</v>
      </c>
      <c r="Q48" s="4">
        <v>0</v>
      </c>
      <c r="R48" s="4">
        <v>0</v>
      </c>
      <c r="S48" s="4">
        <v>0</v>
      </c>
      <c r="T48" s="4">
        <v>0</v>
      </c>
      <c r="U48" s="4">
        <v>0</v>
      </c>
      <c r="V48" s="4">
        <v>0</v>
      </c>
      <c r="W48" s="4">
        <v>2300.0854685980348</v>
      </c>
      <c r="X48" s="4">
        <v>2313.9904584164397</v>
      </c>
    </row>
    <row r="49" spans="1:24" hidden="1" x14ac:dyDescent="0.35">
      <c r="A49" s="2" t="s">
        <v>89</v>
      </c>
      <c r="B49" s="2" t="str">
        <f>+VLOOKUP(A49,'HFM Codes'!$B$2:$C$432,2, FALSE)</f>
        <v>Integraflex</v>
      </c>
      <c r="C49" s="2" t="str">
        <f>+VLOOKUP(A49,'HFM Codes'!$B$2:$E$432,4,FALSE)</f>
        <v>International Seals (excl Disposals)</v>
      </c>
      <c r="D49" s="2" t="str">
        <f>+VLOOKUP(A49,'HFM Codes'!$B$2:$D$432,3,FALSE)</f>
        <v>R&amp;G Industrial</v>
      </c>
      <c r="E49" s="4">
        <v>20.932730447800001</v>
      </c>
      <c r="F49" s="4">
        <v>15.941614024507253</v>
      </c>
      <c r="G49" s="4">
        <v>8.4981291425000016</v>
      </c>
      <c r="H49" s="4">
        <v>422.45110712600808</v>
      </c>
      <c r="I49" s="4">
        <v>7.3713153232897275</v>
      </c>
      <c r="J49" s="4">
        <v>7.2755845737547773</v>
      </c>
      <c r="K49" s="4">
        <v>62.846634052121594</v>
      </c>
      <c r="L49" s="4">
        <v>4.2134072509499996</v>
      </c>
      <c r="M49" s="4">
        <v>4.0979230037043246</v>
      </c>
      <c r="N49" s="4">
        <v>28.977872839999996</v>
      </c>
      <c r="O49" s="4">
        <v>12.22354147294894</v>
      </c>
      <c r="P49" s="4">
        <v>0</v>
      </c>
      <c r="Q49" s="4">
        <v>0</v>
      </c>
      <c r="R49" s="4">
        <v>0</v>
      </c>
      <c r="S49" s="4">
        <v>0</v>
      </c>
      <c r="T49" s="4">
        <v>0</v>
      </c>
      <c r="U49" s="4">
        <v>0</v>
      </c>
      <c r="V49" s="4">
        <v>0</v>
      </c>
      <c r="W49" s="4">
        <v>578.88824523307755</v>
      </c>
      <c r="X49" s="4">
        <v>586.33173011508472</v>
      </c>
    </row>
    <row r="50" spans="1:24" hidden="1" x14ac:dyDescent="0.35">
      <c r="A50" s="2" t="s">
        <v>36</v>
      </c>
      <c r="B50" s="2" t="str">
        <f>+VLOOKUP(A50,'HFM Codes'!$B$2:$C$432,2, FALSE)</f>
        <v>Rayfast USA</v>
      </c>
      <c r="C50" s="2" t="str">
        <f>+VLOOKUP(A50,'HFM Codes'!$B$2:$E$432,4,FALSE)</f>
        <v>Controls</v>
      </c>
      <c r="D50" s="2" t="str">
        <f>+VLOOKUP(A50,'HFM Codes'!$B$2:$D$432,3,FALSE)</f>
        <v>ISG</v>
      </c>
      <c r="E50" s="4">
        <v>8.7181577249443016</v>
      </c>
      <c r="F50" s="4">
        <v>13.583319723686975</v>
      </c>
      <c r="G50" s="4">
        <v>13.035617078255356</v>
      </c>
      <c r="H50" s="4">
        <v>945.59798269747898</v>
      </c>
      <c r="I50" s="4">
        <v>5.8449131349180945</v>
      </c>
      <c r="J50" s="4">
        <v>4.2177421563185424</v>
      </c>
      <c r="K50" s="4">
        <v>398.45290708610747</v>
      </c>
      <c r="L50" s="4">
        <v>9.6816878585999994E-2</v>
      </c>
      <c r="M50" s="4">
        <v>60.55384793345435</v>
      </c>
      <c r="N50" s="4">
        <v>24.726529380000002</v>
      </c>
      <c r="O50" s="4">
        <v>4.8625801046826771</v>
      </c>
      <c r="P50" s="4">
        <v>0</v>
      </c>
      <c r="Q50" s="4">
        <v>0</v>
      </c>
      <c r="R50" s="4">
        <v>0</v>
      </c>
      <c r="S50" s="4">
        <v>2.3509601449809934E-2</v>
      </c>
      <c r="T50" s="4">
        <v>0</v>
      </c>
      <c r="U50" s="4">
        <v>0</v>
      </c>
      <c r="V50" s="4">
        <v>0</v>
      </c>
      <c r="W50" s="4">
        <v>1466.1306037761958</v>
      </c>
      <c r="X50" s="4">
        <v>1466.6783064216274</v>
      </c>
    </row>
    <row r="51" spans="1:24" hidden="1" x14ac:dyDescent="0.35">
      <c r="A51" s="2" t="s">
        <v>97</v>
      </c>
      <c r="B51" s="2" t="str">
        <f>+VLOOKUP(A51,'HFM Codes'!$B$2:$C$432,2, FALSE)</f>
        <v>Rubberlast</v>
      </c>
      <c r="C51" s="2" t="str">
        <f>+VLOOKUP(A51,'HFM Codes'!$B$2:$E$432,4,FALSE)</f>
        <v>International Seals (excl Disposals)</v>
      </c>
      <c r="D51" s="2" t="str">
        <f>+VLOOKUP(A51,'HFM Codes'!$B$2:$D$432,3,FALSE)</f>
        <v>R&amp;G Industrial</v>
      </c>
      <c r="E51" s="4">
        <v>19.534766442400002</v>
      </c>
      <c r="F51" s="4">
        <v>8.7507522801137902</v>
      </c>
      <c r="G51" s="4">
        <v>4.6648364999999998</v>
      </c>
      <c r="H51" s="4">
        <v>214.20053479344924</v>
      </c>
      <c r="I51" s="4">
        <v>0</v>
      </c>
      <c r="J51" s="4">
        <v>5.7702310423461922</v>
      </c>
      <c r="K51" s="4">
        <v>21.255477597495123</v>
      </c>
      <c r="L51" s="4">
        <v>0.90486117379999997</v>
      </c>
      <c r="M51" s="4">
        <v>1.0814924809804636</v>
      </c>
      <c r="N51" s="4">
        <v>22.497459915000004</v>
      </c>
      <c r="O51" s="4">
        <v>9.285418293120129</v>
      </c>
      <c r="P51" s="4">
        <v>0</v>
      </c>
      <c r="Q51" s="4">
        <v>0</v>
      </c>
      <c r="R51" s="4">
        <v>0</v>
      </c>
      <c r="S51" s="4">
        <v>1.8894344561539562E-2</v>
      </c>
      <c r="T51" s="4">
        <v>0</v>
      </c>
      <c r="U51" s="4">
        <v>0</v>
      </c>
      <c r="V51" s="4">
        <v>0</v>
      </c>
      <c r="W51" s="4">
        <v>299.21397258315261</v>
      </c>
      <c r="X51" s="4">
        <v>303.2998883632664</v>
      </c>
    </row>
    <row r="52" spans="1:24" hidden="1" x14ac:dyDescent="0.35">
      <c r="A52" s="2" t="s">
        <v>84</v>
      </c>
      <c r="B52" s="2" t="str">
        <f>+VLOOKUP(A52,'HFM Codes'!$B$2:$C$432,2, FALSE)</f>
        <v>Hydraproducts</v>
      </c>
      <c r="C52" s="2" t="str">
        <f>+VLOOKUP(A52,'HFM Codes'!$B$2:$E$432,4,FALSE)</f>
        <v>International Seals (excl Disposals)</v>
      </c>
      <c r="D52" s="2" t="str">
        <f>+VLOOKUP(A52,'HFM Codes'!$B$2:$D$432,3,FALSE)</f>
        <v>R&amp;G Hydraulics</v>
      </c>
      <c r="E52" s="4">
        <v>6.497349197550002</v>
      </c>
      <c r="F52" s="4">
        <v>6.7272039310607568</v>
      </c>
      <c r="G52" s="4">
        <v>3.5861267050000003</v>
      </c>
      <c r="H52" s="4">
        <v>321.5519574800652</v>
      </c>
      <c r="I52" s="4">
        <v>18.912968888307027</v>
      </c>
      <c r="J52" s="4">
        <v>2.3657465512656008</v>
      </c>
      <c r="K52" s="4">
        <v>178.09118977297587</v>
      </c>
      <c r="L52" s="4">
        <v>4.5672390945000002E-2</v>
      </c>
      <c r="M52" s="4">
        <v>0.83498806686632143</v>
      </c>
      <c r="N52" s="4">
        <v>22.179088539999999</v>
      </c>
      <c r="O52" s="4">
        <v>9.3791390787819484</v>
      </c>
      <c r="P52" s="4">
        <v>0</v>
      </c>
      <c r="Q52" s="4">
        <v>0</v>
      </c>
      <c r="R52" s="4">
        <v>0</v>
      </c>
      <c r="S52" s="4">
        <v>6.075894465215579E-2</v>
      </c>
      <c r="T52" s="4">
        <v>0</v>
      </c>
      <c r="U52" s="4">
        <v>0</v>
      </c>
      <c r="V52" s="4">
        <v>0</v>
      </c>
      <c r="W52" s="4">
        <v>563.50498561640904</v>
      </c>
      <c r="X52" s="4">
        <v>566.64606284246986</v>
      </c>
    </row>
    <row r="53" spans="1:24" hidden="1" x14ac:dyDescent="0.35">
      <c r="A53" s="2" t="s">
        <v>82</v>
      </c>
      <c r="B53" s="2" t="str">
        <f>+VLOOKUP(A53,'HFM Codes'!$B$2:$C$432,2, FALSE)</f>
        <v>Grimsby Hydraulic Services</v>
      </c>
      <c r="C53" s="2" t="str">
        <f>+VLOOKUP(A53,'HFM Codes'!$B$2:$E$432,4,FALSE)</f>
        <v>International Seals (excl Disposals)</v>
      </c>
      <c r="D53" s="2" t="str">
        <f>+VLOOKUP(A53,'HFM Codes'!$B$2:$D$432,3,FALSE)</f>
        <v>R&amp;G Hydraulics</v>
      </c>
      <c r="E53" s="4">
        <v>58.568671359438859</v>
      </c>
      <c r="F53" s="4">
        <v>20.995396798832271</v>
      </c>
      <c r="G53" s="4">
        <v>11.192191275000001</v>
      </c>
      <c r="H53" s="4">
        <v>407.79390388027008</v>
      </c>
      <c r="I53" s="4">
        <v>19.192586564240198</v>
      </c>
      <c r="J53" s="4">
        <v>17.604050230180441</v>
      </c>
      <c r="K53" s="4">
        <v>161.76313199911388</v>
      </c>
      <c r="L53" s="4">
        <v>7.6208754725099997E-2</v>
      </c>
      <c r="M53" s="4">
        <v>20.513425500475925</v>
      </c>
      <c r="N53" s="4">
        <v>21.47094365294118</v>
      </c>
      <c r="O53" s="4">
        <v>14.998202321315638</v>
      </c>
      <c r="P53" s="4">
        <v>0</v>
      </c>
      <c r="Q53" s="4">
        <v>0</v>
      </c>
      <c r="R53" s="4">
        <v>0</v>
      </c>
      <c r="S53" s="4">
        <v>0</v>
      </c>
      <c r="T53" s="4">
        <v>0</v>
      </c>
      <c r="U53" s="4">
        <v>0</v>
      </c>
      <c r="V53" s="4">
        <v>0</v>
      </c>
      <c r="W53" s="4">
        <v>733.17331553770134</v>
      </c>
      <c r="X53" s="4">
        <v>742.97652106153362</v>
      </c>
    </row>
    <row r="54" spans="1:24" hidden="1" x14ac:dyDescent="0.35">
      <c r="A54" s="2" t="s">
        <v>9</v>
      </c>
      <c r="B54" s="2" t="str">
        <f>+VLOOKUP(A54,'HFM Codes'!$B$2:$C$432,2, FALSE)</f>
        <v>Dicsa Italia</v>
      </c>
      <c r="C54" s="2" t="str">
        <f>+VLOOKUP(A54,'HFM Codes'!$B$2:$E$432,4,FALSE)</f>
        <v>International Seals (excl Disposals)</v>
      </c>
      <c r="D54" s="2" t="str">
        <f>+VLOOKUP(A54,'HFM Codes'!$B$2:$D$432,3,FALSE)</f>
        <v>Dicsa Group</v>
      </c>
      <c r="E54" s="4">
        <v>15.857308693300002</v>
      </c>
      <c r="F54" s="4">
        <v>9.3335469353763578</v>
      </c>
      <c r="G54" s="4">
        <v>5.8324688000000009</v>
      </c>
      <c r="H54" s="4">
        <v>1211.1991752907002</v>
      </c>
      <c r="I54" s="4">
        <v>2.2906976219235355</v>
      </c>
      <c r="J54" s="4">
        <v>4.7552267600077842</v>
      </c>
      <c r="K54" s="4">
        <v>32.709626666350019</v>
      </c>
      <c r="L54" s="4">
        <v>0.18707555776999998</v>
      </c>
      <c r="M54" s="4">
        <v>3.7482380365376606</v>
      </c>
      <c r="N54" s="4">
        <v>21.227891533187616</v>
      </c>
      <c r="O54" s="4">
        <v>8.6423420226618877</v>
      </c>
      <c r="P54" s="4">
        <v>0</v>
      </c>
      <c r="Q54" s="4">
        <v>0</v>
      </c>
      <c r="R54" s="4">
        <v>0</v>
      </c>
      <c r="S54" s="4">
        <v>3.3362403320418711E-2</v>
      </c>
      <c r="T54" s="4">
        <v>0</v>
      </c>
      <c r="U54" s="4">
        <v>0</v>
      </c>
      <c r="V54" s="4">
        <v>0</v>
      </c>
      <c r="W54" s="4">
        <v>1306.4834133857591</v>
      </c>
      <c r="X54" s="4">
        <v>1309.9844915211354</v>
      </c>
    </row>
    <row r="55" spans="1:24" hidden="1" x14ac:dyDescent="0.35">
      <c r="A55" s="2" t="s">
        <v>52</v>
      </c>
      <c r="B55" s="2" t="str">
        <f>+VLOOKUP(A55,'HFM Codes'!$B$2:$C$432,2, FALSE)</f>
        <v>Abacus-Dx Limited</v>
      </c>
      <c r="C55" s="2" t="str">
        <f>+VLOOKUP(A55,'HFM Codes'!$B$2:$E$432,4,FALSE)</f>
        <v>Life Sciences</v>
      </c>
      <c r="D55" s="2" t="str">
        <f>+VLOOKUP(A55,'HFM Codes'!$B$2:$D$432,3,FALSE)</f>
        <v>Life Sciences Australasia</v>
      </c>
      <c r="E55" s="4">
        <v>8.2696833999999981</v>
      </c>
      <c r="F55" s="4">
        <v>3.6288100000000005</v>
      </c>
      <c r="G55" s="4">
        <v>3.6288100000000005</v>
      </c>
      <c r="H55" s="4">
        <v>1027.5266132588879</v>
      </c>
      <c r="I55" s="4">
        <v>32.169846285123064</v>
      </c>
      <c r="J55" s="4">
        <v>3.0908973759720224</v>
      </c>
      <c r="K55" s="4">
        <v>19.881038664087107</v>
      </c>
      <c r="L55" s="4">
        <v>2.0479986920988664</v>
      </c>
      <c r="M55" s="4">
        <v>95.014983397169004</v>
      </c>
      <c r="N55" s="4">
        <v>21.070718339999999</v>
      </c>
      <c r="O55" s="4">
        <v>8.970059851436174</v>
      </c>
      <c r="P55" s="4">
        <v>0</v>
      </c>
      <c r="Q55" s="4">
        <v>0</v>
      </c>
      <c r="R55" s="4">
        <v>410.55621856130614</v>
      </c>
      <c r="S55" s="4">
        <v>6.1549145951495791E-2</v>
      </c>
      <c r="T55" s="4">
        <v>0</v>
      </c>
      <c r="U55" s="4">
        <v>0</v>
      </c>
      <c r="V55" s="4">
        <v>0</v>
      </c>
      <c r="W55" s="4">
        <v>1632.2884169720317</v>
      </c>
      <c r="X55" s="4">
        <v>1632.2884169720317</v>
      </c>
    </row>
    <row r="56" spans="1:24" hidden="1" x14ac:dyDescent="0.35">
      <c r="A56" s="2" t="s">
        <v>62</v>
      </c>
      <c r="B56" s="2" t="str">
        <f>+VLOOKUP(A56,'HFM Codes'!$B$2:$C$432,2, FALSE)</f>
        <v>M Seals - Sweden</v>
      </c>
      <c r="C56" s="2" t="str">
        <f>+VLOOKUP(A56,'HFM Codes'!$B$2:$E$432,4,FALSE)</f>
        <v>International Seals (excl Disposals)</v>
      </c>
      <c r="D56" s="2" t="str">
        <f>+VLOOKUP(A56,'HFM Codes'!$B$2:$D$432,3,FALSE)</f>
        <v>M Seals Europe</v>
      </c>
      <c r="E56" s="4">
        <v>12.958315759999998</v>
      </c>
      <c r="F56" s="4">
        <v>0.63308135610092786</v>
      </c>
      <c r="G56" s="4">
        <v>0.10484139999999999</v>
      </c>
      <c r="H56" s="4">
        <v>548.28511474257436</v>
      </c>
      <c r="I56" s="4">
        <v>0</v>
      </c>
      <c r="J56" s="4">
        <v>3.3880062266801136</v>
      </c>
      <c r="K56" s="4">
        <v>60.746783905800775</v>
      </c>
      <c r="L56" s="4">
        <v>0.43731150995999996</v>
      </c>
      <c r="M56" s="4">
        <v>13.889709282037831</v>
      </c>
      <c r="N56" s="4">
        <v>20.823211499999999</v>
      </c>
      <c r="O56" s="4">
        <v>3.6553415948804258</v>
      </c>
      <c r="P56" s="4">
        <v>0</v>
      </c>
      <c r="Q56" s="4">
        <v>0</v>
      </c>
      <c r="R56" s="4">
        <v>0</v>
      </c>
      <c r="S56" s="4">
        <v>6.2584835809337006E-2</v>
      </c>
      <c r="T56" s="4">
        <v>0</v>
      </c>
      <c r="U56" s="4">
        <v>0</v>
      </c>
      <c r="V56" s="4">
        <v>0</v>
      </c>
      <c r="W56" s="4">
        <v>664.35122075774279</v>
      </c>
      <c r="X56" s="4">
        <v>664.87946071384363</v>
      </c>
    </row>
    <row r="57" spans="1:24" hidden="1" x14ac:dyDescent="0.35">
      <c r="A57" s="2" t="s">
        <v>165</v>
      </c>
      <c r="B57" s="2" t="str">
        <f>+VLOOKUP(A57,'HFM Codes'!$B$2:$C$432,2, FALSE)</f>
        <v>HFPG Head Office</v>
      </c>
      <c r="C57" s="2" t="str">
        <f>+VLOOKUP(A57,'HFM Codes'!$B$2:$E$432,4,FALSE)</f>
        <v>North American Seals</v>
      </c>
      <c r="D57" s="2" t="str">
        <f>+VLOOKUP(A57,'HFM Codes'!$B$2:$D$432,3,FALSE)</f>
        <v>NA Seals Head Office</v>
      </c>
      <c r="E57" s="4">
        <v>0</v>
      </c>
      <c r="F57" s="4">
        <v>0</v>
      </c>
      <c r="G57" s="4">
        <v>0</v>
      </c>
      <c r="H57" s="4">
        <v>137.561750901209</v>
      </c>
      <c r="I57" s="4">
        <v>0</v>
      </c>
      <c r="J57" s="4">
        <v>0</v>
      </c>
      <c r="K57" s="4">
        <v>0</v>
      </c>
      <c r="L57" s="4">
        <v>0</v>
      </c>
      <c r="M57" s="4">
        <v>88.694659953171524</v>
      </c>
      <c r="N57" s="4">
        <v>19.298083211988743</v>
      </c>
      <c r="O57" s="4">
        <v>0</v>
      </c>
      <c r="P57" s="4">
        <v>0</v>
      </c>
      <c r="Q57" s="4">
        <v>0</v>
      </c>
      <c r="R57" s="4">
        <v>0</v>
      </c>
      <c r="S57" s="4">
        <v>0</v>
      </c>
      <c r="T57" s="4">
        <v>0</v>
      </c>
      <c r="U57" s="4">
        <v>0</v>
      </c>
      <c r="V57" s="4">
        <v>0</v>
      </c>
      <c r="W57" s="4">
        <v>245.55449406636927</v>
      </c>
      <c r="X57" s="4">
        <v>245.55449406636927</v>
      </c>
    </row>
    <row r="58" spans="1:24" hidden="1" x14ac:dyDescent="0.35">
      <c r="A58" s="2" t="s">
        <v>3</v>
      </c>
      <c r="B58" s="2" t="str">
        <f>+VLOOKUP(A58,'HFM Codes'!$B$2:$C$432,2, FALSE)</f>
        <v>Abbey Hose Co Limited</v>
      </c>
      <c r="C58" s="2" t="str">
        <f>+VLOOKUP(A58,'HFM Codes'!$B$2:$E$432,4,FALSE)</f>
        <v>International Seals (excl Disposals)</v>
      </c>
      <c r="D58" s="2" t="str">
        <f>+VLOOKUP(A58,'HFM Codes'!$B$2:$D$432,3,FALSE)</f>
        <v>R&amp;G Industrial</v>
      </c>
      <c r="E58" s="4">
        <v>19.532842129675675</v>
      </c>
      <c r="F58" s="4">
        <v>2.4636960409691695</v>
      </c>
      <c r="G58" s="4">
        <v>1.313342996</v>
      </c>
      <c r="H58" s="4">
        <v>343.96221885647645</v>
      </c>
      <c r="I58" s="4">
        <v>0</v>
      </c>
      <c r="J58" s="4">
        <v>5.0043299544736426</v>
      </c>
      <c r="K58" s="4">
        <v>6.2233197780201248</v>
      </c>
      <c r="L58" s="4">
        <v>3.5848131120000008E-2</v>
      </c>
      <c r="M58" s="4">
        <v>19.350765771095507</v>
      </c>
      <c r="N58" s="4">
        <v>17.384165757000002</v>
      </c>
      <c r="O58" s="4">
        <v>12.190223655477268</v>
      </c>
      <c r="P58" s="4">
        <v>0</v>
      </c>
      <c r="Q58" s="4">
        <v>0</v>
      </c>
      <c r="R58" s="4">
        <v>0</v>
      </c>
      <c r="S58" s="4">
        <v>0</v>
      </c>
      <c r="T58" s="4">
        <v>0</v>
      </c>
      <c r="U58" s="4">
        <v>0</v>
      </c>
      <c r="V58" s="4">
        <v>0</v>
      </c>
      <c r="W58" s="4">
        <v>424.99705702933869</v>
      </c>
      <c r="X58" s="4">
        <v>426.14741007430786</v>
      </c>
    </row>
    <row r="59" spans="1:24" hidden="1" x14ac:dyDescent="0.35">
      <c r="A59" s="2" t="s">
        <v>4</v>
      </c>
      <c r="B59" s="2" t="str">
        <f>+VLOOKUP(A59,'HFM Codes'!$B$2:$C$432,2, FALSE)</f>
        <v>PTFE Flex Limited</v>
      </c>
      <c r="C59" s="2" t="str">
        <f>+VLOOKUP(A59,'HFM Codes'!$B$2:$E$432,4,FALSE)</f>
        <v>International Seals (excl Disposals)</v>
      </c>
      <c r="D59" s="2" t="str">
        <f>+VLOOKUP(A59,'HFM Codes'!$B$2:$D$432,3,FALSE)</f>
        <v>R&amp;G Industrial</v>
      </c>
      <c r="E59" s="4">
        <v>2.2985949999999997</v>
      </c>
      <c r="F59" s="4">
        <v>2.8590451635116563</v>
      </c>
      <c r="G59" s="4">
        <v>1.5240950500000001</v>
      </c>
      <c r="H59" s="4">
        <v>31.53050177465839</v>
      </c>
      <c r="I59" s="4">
        <v>0</v>
      </c>
      <c r="J59" s="4">
        <v>1.1104532153406352</v>
      </c>
      <c r="K59" s="4">
        <v>0</v>
      </c>
      <c r="L59" s="4">
        <v>3.4792944714000004E-2</v>
      </c>
      <c r="M59" s="4">
        <v>10.561155101112117</v>
      </c>
      <c r="N59" s="4">
        <v>17.368274890789866</v>
      </c>
      <c r="O59" s="4">
        <v>3.7096933762399238</v>
      </c>
      <c r="P59" s="4">
        <v>0</v>
      </c>
      <c r="Q59" s="4">
        <v>0</v>
      </c>
      <c r="R59" s="4">
        <v>0</v>
      </c>
      <c r="S59" s="4">
        <v>0</v>
      </c>
      <c r="T59" s="4">
        <v>0</v>
      </c>
      <c r="U59" s="4">
        <v>0</v>
      </c>
      <c r="V59" s="4">
        <v>0</v>
      </c>
      <c r="W59" s="4">
        <v>68.137561352854931</v>
      </c>
      <c r="X59" s="4">
        <v>69.472511466366583</v>
      </c>
    </row>
    <row r="60" spans="1:24" hidden="1" x14ac:dyDescent="0.35">
      <c r="A60" s="2" t="s">
        <v>35</v>
      </c>
      <c r="B60" s="2" t="str">
        <f>+VLOOKUP(A60,'HFM Codes'!$B$2:$C$432,2, FALSE)</f>
        <v>CSF GmbH - Manufacturing</v>
      </c>
      <c r="C60" s="2" t="str">
        <f>+VLOOKUP(A60,'HFM Codes'!$B$2:$E$432,4,FALSE)</f>
        <v>Controls</v>
      </c>
      <c r="D60" s="2" t="str">
        <f>+VLOOKUP(A60,'HFM Codes'!$B$2:$D$432,3,FALSE)</f>
        <v>Specialty Fasteners</v>
      </c>
      <c r="E60" s="4">
        <v>19.794807079459421</v>
      </c>
      <c r="F60" s="4">
        <v>30.667871528431391</v>
      </c>
      <c r="G60" s="4">
        <v>15.625679999999999</v>
      </c>
      <c r="H60" s="4">
        <v>465.77632535747824</v>
      </c>
      <c r="I60" s="4">
        <v>11.155968257567068</v>
      </c>
      <c r="J60" s="4">
        <v>7.7821898222925698</v>
      </c>
      <c r="K60" s="4">
        <v>0.23726395186956495</v>
      </c>
      <c r="L60" s="4">
        <v>0.33120513858</v>
      </c>
      <c r="M60" s="4">
        <v>17.847096430001091</v>
      </c>
      <c r="N60" s="4">
        <v>17.247427680000001</v>
      </c>
      <c r="O60" s="4">
        <v>6.4219450122272814</v>
      </c>
      <c r="P60" s="4">
        <v>0</v>
      </c>
      <c r="Q60" s="4">
        <v>0</v>
      </c>
      <c r="R60" s="4">
        <v>0</v>
      </c>
      <c r="S60" s="4">
        <v>8.9151338411679007E-2</v>
      </c>
      <c r="T60" s="4">
        <v>0</v>
      </c>
      <c r="U60" s="4">
        <v>0</v>
      </c>
      <c r="V60" s="4">
        <v>0</v>
      </c>
      <c r="W60" s="4">
        <v>562.309060067887</v>
      </c>
      <c r="X60" s="4">
        <v>577.35125159631843</v>
      </c>
    </row>
    <row r="61" spans="1:24" hidden="1" x14ac:dyDescent="0.35">
      <c r="A61" s="2" t="s">
        <v>60</v>
      </c>
      <c r="B61" s="2" t="str">
        <f>+VLOOKUP(A61,'HFM Codes'!$B$2:$C$432,2, FALSE)</f>
        <v>Swan Seals</v>
      </c>
      <c r="C61" s="2" t="str">
        <f>+VLOOKUP(A61,'HFM Codes'!$B$2:$E$432,4,FALSE)</f>
        <v>International Seals (excl Disposals)</v>
      </c>
      <c r="D61" s="2" t="str">
        <f>+VLOOKUP(A61,'HFM Codes'!$B$2:$D$432,3,FALSE)</f>
        <v>R&amp;G Seals and Gaskets</v>
      </c>
      <c r="E61" s="4">
        <v>1.8687368540000004</v>
      </c>
      <c r="F61" s="4">
        <v>12.716750128859548</v>
      </c>
      <c r="G61" s="4">
        <v>6.7790240500000003</v>
      </c>
      <c r="H61" s="4">
        <v>106.48321992215797</v>
      </c>
      <c r="I61" s="4">
        <v>0</v>
      </c>
      <c r="J61" s="4">
        <v>2.5970116447423357</v>
      </c>
      <c r="K61" s="4">
        <v>62.82439915440429</v>
      </c>
      <c r="L61" s="4">
        <v>0.25799938625831026</v>
      </c>
      <c r="M61" s="4">
        <v>3.3994577786303344</v>
      </c>
      <c r="N61" s="4">
        <v>15.438466569590993</v>
      </c>
      <c r="O61" s="4">
        <v>2.9155837366109454</v>
      </c>
      <c r="P61" s="4">
        <v>0</v>
      </c>
      <c r="Q61" s="4">
        <v>0</v>
      </c>
      <c r="R61" s="4">
        <v>0</v>
      </c>
      <c r="S61" s="4">
        <v>2.407327350641926E-2</v>
      </c>
      <c r="T61" s="4">
        <v>0</v>
      </c>
      <c r="U61" s="4">
        <v>0</v>
      </c>
      <c r="V61" s="4">
        <v>0</v>
      </c>
      <c r="W61" s="4">
        <v>202.58797236990162</v>
      </c>
      <c r="X61" s="4">
        <v>208.52569844876118</v>
      </c>
    </row>
    <row r="62" spans="1:24" hidden="1" x14ac:dyDescent="0.35">
      <c r="A62" s="2" t="s">
        <v>13</v>
      </c>
      <c r="B62" s="2" t="str">
        <f>+VLOOKUP(A62,'HFM Codes'!$B$2:$C$432,2, FALSE)</f>
        <v>Valves Online</v>
      </c>
      <c r="C62" s="2" t="str">
        <f>+VLOOKUP(A62,'HFM Codes'!$B$2:$E$432,4,FALSE)</f>
        <v>International Seals (excl Disposals)</v>
      </c>
      <c r="D62" s="2" t="str">
        <f>+VLOOKUP(A62,'HFM Codes'!$B$2:$D$432,3,FALSE)</f>
        <v>R&amp;G Industrial</v>
      </c>
      <c r="E62" s="4">
        <v>0.60500428199999989</v>
      </c>
      <c r="F62" s="4">
        <v>6.450788135446528</v>
      </c>
      <c r="G62" s="4">
        <v>3.4387754315000008</v>
      </c>
      <c r="H62" s="4">
        <v>379.73902305450054</v>
      </c>
      <c r="I62" s="4">
        <v>9.3869462825473065</v>
      </c>
      <c r="J62" s="4">
        <v>1.29421863617292</v>
      </c>
      <c r="K62" s="4">
        <v>0</v>
      </c>
      <c r="L62" s="4">
        <v>8.8693804480980021E-2</v>
      </c>
      <c r="M62" s="4">
        <v>4.2169592566673471</v>
      </c>
      <c r="N62" s="4">
        <v>14.902218426666666</v>
      </c>
      <c r="O62" s="4">
        <v>4.9134735512590924</v>
      </c>
      <c r="P62" s="4">
        <v>0</v>
      </c>
      <c r="Q62" s="4">
        <v>0</v>
      </c>
      <c r="R62" s="4">
        <v>0</v>
      </c>
      <c r="S62" s="4">
        <v>0</v>
      </c>
      <c r="T62" s="4">
        <v>0</v>
      </c>
      <c r="U62" s="4">
        <v>0</v>
      </c>
      <c r="V62" s="4">
        <v>0</v>
      </c>
      <c r="W62" s="4">
        <v>418.58531272579472</v>
      </c>
      <c r="X62" s="4">
        <v>421.59732542974126</v>
      </c>
    </row>
    <row r="63" spans="1:24" hidden="1" x14ac:dyDescent="0.35">
      <c r="A63" s="2" t="s">
        <v>94</v>
      </c>
      <c r="B63" s="2" t="str">
        <f>+VLOOKUP(A63,'HFM Codes'!$B$2:$C$432,2, FALSE)</f>
        <v>Henry Gallacher</v>
      </c>
      <c r="C63" s="2" t="str">
        <f>+VLOOKUP(A63,'HFM Codes'!$B$2:$E$432,4,FALSE)</f>
        <v>International Seals (excl Disposals)</v>
      </c>
      <c r="D63" s="2" t="str">
        <f>+VLOOKUP(A63,'HFM Codes'!$B$2:$D$432,3,FALSE)</f>
        <v>R&amp;G Seals and Gaskets</v>
      </c>
      <c r="E63" s="4">
        <v>17.518366739999998</v>
      </c>
      <c r="F63" s="4">
        <v>11.929206581911419</v>
      </c>
      <c r="G63" s="4">
        <v>8.3088660700000005</v>
      </c>
      <c r="H63" s="4">
        <v>138.34435985536615</v>
      </c>
      <c r="I63" s="4">
        <v>2.0807742192667544</v>
      </c>
      <c r="J63" s="4">
        <v>5.9525213511684525</v>
      </c>
      <c r="K63" s="4">
        <v>52.199350483268013</v>
      </c>
      <c r="L63" s="4">
        <v>6.7006797678196367E-2</v>
      </c>
      <c r="M63" s="4">
        <v>10.163621073548017</v>
      </c>
      <c r="N63" s="4">
        <v>12.93514152</v>
      </c>
      <c r="O63" s="4">
        <v>8.2195756989299724</v>
      </c>
      <c r="P63" s="4">
        <v>0</v>
      </c>
      <c r="Q63" s="4">
        <v>0</v>
      </c>
      <c r="R63" s="4">
        <v>0</v>
      </c>
      <c r="S63" s="4">
        <v>0</v>
      </c>
      <c r="T63" s="4">
        <v>0</v>
      </c>
      <c r="U63" s="4">
        <v>0</v>
      </c>
      <c r="V63" s="4">
        <v>0</v>
      </c>
      <c r="W63" s="4">
        <v>255.78958380922558</v>
      </c>
      <c r="X63" s="4">
        <v>259.409924321137</v>
      </c>
    </row>
    <row r="64" spans="1:24" hidden="1" x14ac:dyDescent="0.35">
      <c r="A64" s="2" t="s">
        <v>91</v>
      </c>
      <c r="B64" s="2" t="str">
        <f>+VLOOKUP(A64,'HFM Codes'!$B$2:$C$432,2, FALSE)</f>
        <v>Millenium Engineering (2012)</v>
      </c>
      <c r="C64" s="2" t="str">
        <f>+VLOOKUP(A64,'HFM Codes'!$B$2:$E$432,4,FALSE)</f>
        <v>International Seals (excl Disposals)</v>
      </c>
      <c r="D64" s="2" t="str">
        <f>+VLOOKUP(A64,'HFM Codes'!$B$2:$D$432,3,FALSE)</f>
        <v>R&amp;G Industrial</v>
      </c>
      <c r="E64" s="4">
        <v>9.417010910351852</v>
      </c>
      <c r="F64" s="4">
        <v>33.476074702398762</v>
      </c>
      <c r="G64" s="4">
        <v>17.845370335000013</v>
      </c>
      <c r="H64" s="4">
        <v>-36.016818617479309</v>
      </c>
      <c r="I64" s="4">
        <v>0</v>
      </c>
      <c r="J64" s="4">
        <v>8.3137784392719656</v>
      </c>
      <c r="K64" s="4">
        <v>56.606940277310848</v>
      </c>
      <c r="L64" s="4">
        <v>0</v>
      </c>
      <c r="M64" s="4">
        <v>5.6089167845340437</v>
      </c>
      <c r="N64" s="4">
        <v>12.055881599999999</v>
      </c>
      <c r="O64" s="4">
        <v>1.8885248269853947</v>
      </c>
      <c r="P64" s="4">
        <v>0</v>
      </c>
      <c r="Q64" s="4">
        <v>0</v>
      </c>
      <c r="R64" s="4">
        <v>0</v>
      </c>
      <c r="S64" s="4">
        <v>0</v>
      </c>
      <c r="T64" s="4">
        <v>0</v>
      </c>
      <c r="U64" s="4">
        <v>0</v>
      </c>
      <c r="V64" s="4">
        <v>0</v>
      </c>
      <c r="W64" s="4">
        <v>75.719604555974797</v>
      </c>
      <c r="X64" s="4">
        <v>91.350308923373561</v>
      </c>
    </row>
    <row r="65" spans="1:24" hidden="1" x14ac:dyDescent="0.35">
      <c r="A65" s="2" t="s">
        <v>8</v>
      </c>
      <c r="B65" s="2" t="str">
        <f>+VLOOKUP(A65,'HFM Codes'!$B$2:$C$432,2, FALSE)</f>
        <v>GM Medical Denmark</v>
      </c>
      <c r="C65" s="2" t="str">
        <f>+VLOOKUP(A65,'HFM Codes'!$B$2:$E$432,4,FALSE)</f>
        <v>Life Sciences</v>
      </c>
      <c r="D65" s="2" t="str">
        <f>+VLOOKUP(A65,'HFM Codes'!$B$2:$D$432,3,FALSE)</f>
        <v>Life Sciences Nordics</v>
      </c>
      <c r="E65" s="4">
        <v>0</v>
      </c>
      <c r="F65" s="4">
        <v>14.578841300324115</v>
      </c>
      <c r="G65" s="4">
        <v>2.4867295600000001</v>
      </c>
      <c r="H65" s="4">
        <v>426.03582236265152</v>
      </c>
      <c r="I65" s="4">
        <v>3.757634259879441</v>
      </c>
      <c r="J65" s="4">
        <v>1.4885630841690998</v>
      </c>
      <c r="K65" s="4">
        <v>172.43906769090518</v>
      </c>
      <c r="L65" s="4">
        <v>0</v>
      </c>
      <c r="M65" s="4">
        <v>45.371670462657178</v>
      </c>
      <c r="N65" s="4">
        <v>11.578849927193245</v>
      </c>
      <c r="O65" s="4">
        <v>3.5752458895162529</v>
      </c>
      <c r="P65" s="4">
        <v>0</v>
      </c>
      <c r="Q65" s="4">
        <v>0</v>
      </c>
      <c r="R65" s="4">
        <v>0</v>
      </c>
      <c r="S65" s="4">
        <v>0.12969616394210923</v>
      </c>
      <c r="T65" s="4">
        <v>0</v>
      </c>
      <c r="U65" s="4">
        <v>0</v>
      </c>
      <c r="V65" s="4">
        <v>0</v>
      </c>
      <c r="W65" s="4">
        <v>666.86327940091405</v>
      </c>
      <c r="X65" s="4">
        <v>678.95539114123824</v>
      </c>
    </row>
    <row r="66" spans="1:24" hidden="1" x14ac:dyDescent="0.35">
      <c r="A66" s="2" t="s">
        <v>142</v>
      </c>
      <c r="B66" s="2" t="str">
        <f>+VLOOKUP(A66,'HFM Codes'!$B$2:$C$432,2, FALSE)</f>
        <v>GCA IFRS</v>
      </c>
      <c r="C66" s="2" t="str">
        <f>+VLOOKUP(A66,'HFM Codes'!$B$2:$E$432,4,FALSE)</f>
        <v>Head Office</v>
      </c>
      <c r="D66" s="2" t="str">
        <f>+VLOOKUP(A66,'HFM Codes'!$B$2:$D$432,3,FALSE)</f>
        <v>Head Office</v>
      </c>
      <c r="E66" s="4">
        <v>0</v>
      </c>
      <c r="F66" s="4">
        <v>0</v>
      </c>
      <c r="G66" s="4">
        <v>0</v>
      </c>
      <c r="H66" s="4">
        <v>0</v>
      </c>
      <c r="I66" s="4">
        <v>0</v>
      </c>
      <c r="J66" s="4">
        <v>0</v>
      </c>
      <c r="K66" s="4">
        <v>0</v>
      </c>
      <c r="L66" s="4">
        <v>0</v>
      </c>
      <c r="M66" s="4">
        <v>0</v>
      </c>
      <c r="N66" s="4">
        <v>11.578849927193245</v>
      </c>
      <c r="O66" s="4">
        <v>0</v>
      </c>
      <c r="P66" s="4">
        <v>0</v>
      </c>
      <c r="Q66" s="4">
        <v>0</v>
      </c>
      <c r="R66" s="4">
        <v>0</v>
      </c>
      <c r="S66" s="4">
        <v>0</v>
      </c>
      <c r="T66" s="4">
        <v>0</v>
      </c>
      <c r="U66" s="4">
        <v>0</v>
      </c>
      <c r="V66" s="4">
        <v>0</v>
      </c>
      <c r="W66" s="4">
        <v>11.578849927193245</v>
      </c>
      <c r="X66" s="4">
        <v>11.578849927193245</v>
      </c>
    </row>
    <row r="67" spans="1:24" hidden="1" x14ac:dyDescent="0.35">
      <c r="A67" s="2" t="s">
        <v>85</v>
      </c>
      <c r="B67" s="2" t="str">
        <f>+VLOOKUP(A67,'HFM Codes'!$B$2:$C$432,2, FALSE)</f>
        <v>Hydraulic &amp; Offshore Supplies</v>
      </c>
      <c r="C67" s="2" t="str">
        <f>+VLOOKUP(A67,'HFM Codes'!$B$2:$E$432,4,FALSE)</f>
        <v>International Seals (excl Disposals)</v>
      </c>
      <c r="D67" s="2" t="str">
        <f>+VLOOKUP(A67,'HFM Codes'!$B$2:$D$432,3,FALSE)</f>
        <v>R&amp;G Hydraulics</v>
      </c>
      <c r="E67" s="4">
        <v>24.44148881085</v>
      </c>
      <c r="F67" s="4">
        <v>5.7968199092327692</v>
      </c>
      <c r="G67" s="4">
        <v>3.0901591350000004</v>
      </c>
      <c r="H67" s="4">
        <v>196.63274186894824</v>
      </c>
      <c r="I67" s="4">
        <v>10.912111256039529</v>
      </c>
      <c r="J67" s="4">
        <v>6.3610408134417238</v>
      </c>
      <c r="K67" s="4">
        <v>16.063946503837112</v>
      </c>
      <c r="L67" s="4">
        <v>1.791765495E-2</v>
      </c>
      <c r="M67" s="4">
        <v>9.5361844319312503</v>
      </c>
      <c r="N67" s="4">
        <v>11.184518520000003</v>
      </c>
      <c r="O67" s="4">
        <v>3.4862702892072766</v>
      </c>
      <c r="P67" s="4">
        <v>0</v>
      </c>
      <c r="Q67" s="4">
        <v>0</v>
      </c>
      <c r="R67" s="4">
        <v>0</v>
      </c>
      <c r="S67" s="4">
        <v>1.7774912703252595E-2</v>
      </c>
      <c r="T67" s="4">
        <v>0</v>
      </c>
      <c r="U67" s="4">
        <v>0</v>
      </c>
      <c r="V67" s="4">
        <v>0</v>
      </c>
      <c r="W67" s="4">
        <v>281.74415419690843</v>
      </c>
      <c r="X67" s="4">
        <v>284.4508149711412</v>
      </c>
    </row>
    <row r="68" spans="1:24" hidden="1" x14ac:dyDescent="0.35">
      <c r="A68" s="2" t="s">
        <v>92</v>
      </c>
      <c r="B68" s="2" t="str">
        <f>+VLOOKUP(A68,'HFM Codes'!$B$2:$C$432,2, FALSE)</f>
        <v>Industrial Hose &amp; Pipe Fittings</v>
      </c>
      <c r="C68" s="2" t="str">
        <f>+VLOOKUP(A68,'HFM Codes'!$B$2:$E$432,4,FALSE)</f>
        <v>International Seals (excl Disposals)</v>
      </c>
      <c r="D68" s="2" t="str">
        <f>+VLOOKUP(A68,'HFM Codes'!$B$2:$D$432,3,FALSE)</f>
        <v>R&amp;G Industrial</v>
      </c>
      <c r="E68" s="4">
        <v>2.1150556000000003</v>
      </c>
      <c r="F68" s="4">
        <v>25.219722447911082</v>
      </c>
      <c r="G68" s="4">
        <v>13.444087780000004</v>
      </c>
      <c r="H68" s="4">
        <v>237.30294129947868</v>
      </c>
      <c r="I68" s="4">
        <v>14.322131127413662</v>
      </c>
      <c r="J68" s="4">
        <v>4.8875760839630455</v>
      </c>
      <c r="K68" s="4">
        <v>166.72339324889916</v>
      </c>
      <c r="L68" s="4">
        <v>3.3755734175450964</v>
      </c>
      <c r="M68" s="4">
        <v>3.4274847448694477</v>
      </c>
      <c r="N68" s="4">
        <v>10.976563500000001</v>
      </c>
      <c r="O68" s="4">
        <v>1.9672654740413904</v>
      </c>
      <c r="P68" s="4">
        <v>0</v>
      </c>
      <c r="Q68" s="4">
        <v>0</v>
      </c>
      <c r="R68" s="4">
        <v>0</v>
      </c>
      <c r="S68" s="4">
        <v>3.4484593011557436E-2</v>
      </c>
      <c r="T68" s="4">
        <v>0</v>
      </c>
      <c r="U68" s="4">
        <v>0</v>
      </c>
      <c r="V68" s="4">
        <v>0</v>
      </c>
      <c r="W68" s="4">
        <v>458.57655686922203</v>
      </c>
      <c r="X68" s="4">
        <v>470.35219153713308</v>
      </c>
    </row>
    <row r="69" spans="1:24" hidden="1" x14ac:dyDescent="0.35">
      <c r="A69" s="2" t="s">
        <v>63</v>
      </c>
      <c r="B69" s="2" t="str">
        <f>+VLOOKUP(A69,'HFM Codes'!$B$2:$C$432,2, FALSE)</f>
        <v>NCL Technical Inspection</v>
      </c>
      <c r="C69" s="2" t="str">
        <f>+VLOOKUP(A69,'HFM Codes'!$B$2:$E$432,4,FALSE)</f>
        <v>International Seals (excl Disposals)</v>
      </c>
      <c r="D69" s="2" t="str">
        <f>+VLOOKUP(A69,'HFM Codes'!$B$2:$D$432,3,FALSE)</f>
        <v>M Seals UK</v>
      </c>
      <c r="E69" s="4">
        <v>9.2364517779687105</v>
      </c>
      <c r="F69" s="4">
        <v>7.4887873785018186</v>
      </c>
      <c r="G69" s="4">
        <v>3.9921103450000008</v>
      </c>
      <c r="H69" s="4">
        <v>63.124835626044074</v>
      </c>
      <c r="I69" s="4">
        <v>0</v>
      </c>
      <c r="J69" s="4">
        <v>3.1458829466204521</v>
      </c>
      <c r="K69" s="4">
        <v>12.72796996506308</v>
      </c>
      <c r="L69" s="4">
        <v>8.6931012560000021E-2</v>
      </c>
      <c r="M69" s="4">
        <v>0.96310734331303627</v>
      </c>
      <c r="N69" s="4">
        <v>10.120995753750002</v>
      </c>
      <c r="O69" s="4">
        <v>8.4257495159349425</v>
      </c>
      <c r="P69" s="4">
        <v>0</v>
      </c>
      <c r="Q69" s="4">
        <v>0</v>
      </c>
      <c r="R69" s="4">
        <v>0</v>
      </c>
      <c r="S69" s="4">
        <v>7.1063431539443861E-3</v>
      </c>
      <c r="T69" s="4">
        <v>0</v>
      </c>
      <c r="U69" s="4">
        <v>0</v>
      </c>
      <c r="V69" s="4">
        <v>0</v>
      </c>
      <c r="W69" s="4">
        <v>111.83114062940825</v>
      </c>
      <c r="X69" s="4">
        <v>115.32781766291006</v>
      </c>
    </row>
    <row r="70" spans="1:24" hidden="1" x14ac:dyDescent="0.35">
      <c r="A70" s="2" t="s">
        <v>70</v>
      </c>
      <c r="B70" s="2" t="str">
        <f>+VLOOKUP(A70,'HFM Codes'!$B$2:$C$432,2, FALSE)</f>
        <v>Power Dynamics</v>
      </c>
      <c r="C70" s="2" t="str">
        <f>+VLOOKUP(A70,'HFM Codes'!$B$2:$E$432,4,FALSE)</f>
        <v>North American Seals</v>
      </c>
      <c r="D70" s="2" t="str">
        <f>+VLOOKUP(A70,'HFM Codes'!$B$2:$D$432,3,FALSE)</f>
        <v>VSP group</v>
      </c>
      <c r="E70" s="4">
        <v>17.725172356155124</v>
      </c>
      <c r="F70" s="4">
        <v>67.92180103553352</v>
      </c>
      <c r="G70" s="4">
        <v>63.896298857656674</v>
      </c>
      <c r="H70" s="4">
        <v>259.42519231214681</v>
      </c>
      <c r="I70" s="4">
        <v>0</v>
      </c>
      <c r="J70" s="4">
        <v>12.104171328943703</v>
      </c>
      <c r="K70" s="4">
        <v>9.0985790252231986</v>
      </c>
      <c r="L70" s="4">
        <v>10.645704928400001</v>
      </c>
      <c r="M70" s="4">
        <v>26.916358452231655</v>
      </c>
      <c r="N70" s="4">
        <v>9.6490416059943716</v>
      </c>
      <c r="O70" s="4">
        <v>20.013202639199495</v>
      </c>
      <c r="P70" s="4">
        <v>0</v>
      </c>
      <c r="Q70" s="4">
        <v>0</v>
      </c>
      <c r="R70" s="4">
        <v>0</v>
      </c>
      <c r="S70" s="4">
        <v>1.3056790911619683E-3</v>
      </c>
      <c r="T70" s="4">
        <v>0</v>
      </c>
      <c r="U70" s="4">
        <v>0</v>
      </c>
      <c r="V70" s="4">
        <v>0</v>
      </c>
      <c r="W70" s="4">
        <v>429.47502718504222</v>
      </c>
      <c r="X70" s="4">
        <v>433.50052936291905</v>
      </c>
    </row>
    <row r="71" spans="1:24" hidden="1" x14ac:dyDescent="0.35">
      <c r="A71" s="2" t="s">
        <v>77</v>
      </c>
      <c r="B71" s="2" t="str">
        <f>+VLOOKUP(A71,'HFM Codes'!$B$2:$C$432,2, FALSE)</f>
        <v>Medilink</v>
      </c>
      <c r="C71" s="2" t="str">
        <f>+VLOOKUP(A71,'HFM Codes'!$B$2:$E$432,4,FALSE)</f>
        <v>Life Sciences</v>
      </c>
      <c r="D71" s="2" t="str">
        <f>+VLOOKUP(A71,'HFM Codes'!$B$2:$D$432,3,FALSE)</f>
        <v>Life Sciences Ireland</v>
      </c>
      <c r="E71" s="4">
        <v>50.12787500000001</v>
      </c>
      <c r="F71" s="4">
        <v>4.0268299681929882</v>
      </c>
      <c r="G71" s="4">
        <v>2.6222138999999998</v>
      </c>
      <c r="H71" s="4">
        <v>874.16527527186986</v>
      </c>
      <c r="I71" s="4">
        <v>0</v>
      </c>
      <c r="J71" s="4">
        <v>13.067979382869323</v>
      </c>
      <c r="K71" s="4">
        <v>3.5819875266799617</v>
      </c>
      <c r="L71" s="4">
        <v>2.6027076600000001E-3</v>
      </c>
      <c r="M71" s="4">
        <v>13.989611213880126</v>
      </c>
      <c r="N71" s="4">
        <v>9.6490416059943716</v>
      </c>
      <c r="O71" s="4">
        <v>3.8196360692777938</v>
      </c>
      <c r="P71" s="4">
        <v>0</v>
      </c>
      <c r="Q71" s="4">
        <v>0</v>
      </c>
      <c r="R71" s="4">
        <v>0</v>
      </c>
      <c r="S71" s="4">
        <v>1.4282406467799194E-3</v>
      </c>
      <c r="T71" s="4">
        <v>0</v>
      </c>
      <c r="U71" s="4">
        <v>0</v>
      </c>
      <c r="V71" s="4">
        <v>0</v>
      </c>
      <c r="W71" s="4">
        <v>971.02765091887829</v>
      </c>
      <c r="X71" s="4">
        <v>972.43226698707122</v>
      </c>
    </row>
    <row r="72" spans="1:24" hidden="1" x14ac:dyDescent="0.35">
      <c r="A72" s="2" t="s">
        <v>159</v>
      </c>
      <c r="B72" s="2" t="str">
        <f>+VLOOKUP(A72,'HFM Codes'!$B$2:$C$432,2, FALSE)</f>
        <v>Diploma Holdings</v>
      </c>
      <c r="C72" s="2" t="str">
        <f>+VLOOKUP(A72,'HFM Codes'!$B$2:$E$432,4,FALSE)</f>
        <v>Head Office</v>
      </c>
      <c r="D72" s="2" t="str">
        <f>+VLOOKUP(A72,'HFM Codes'!$B$2:$D$432,3,FALSE)</f>
        <v>Head Office</v>
      </c>
      <c r="E72" s="4">
        <v>0</v>
      </c>
      <c r="F72" s="4">
        <v>0</v>
      </c>
      <c r="G72" s="4">
        <v>0</v>
      </c>
      <c r="H72" s="4">
        <v>426.63942205919113</v>
      </c>
      <c r="I72" s="4">
        <v>0</v>
      </c>
      <c r="J72" s="4">
        <v>0</v>
      </c>
      <c r="K72" s="4">
        <v>0</v>
      </c>
      <c r="L72" s="4">
        <v>0</v>
      </c>
      <c r="M72" s="4">
        <v>12.710589413089698</v>
      </c>
      <c r="N72" s="4">
        <v>9.6490416059943716</v>
      </c>
      <c r="O72" s="4">
        <v>0</v>
      </c>
      <c r="P72" s="4">
        <v>0</v>
      </c>
      <c r="Q72" s="4">
        <v>0</v>
      </c>
      <c r="R72" s="4">
        <v>0</v>
      </c>
      <c r="S72" s="4">
        <v>0</v>
      </c>
      <c r="T72" s="4">
        <v>0</v>
      </c>
      <c r="U72" s="4">
        <v>0</v>
      </c>
      <c r="V72" s="4">
        <v>0</v>
      </c>
      <c r="W72" s="4">
        <v>448.99905307827521</v>
      </c>
      <c r="X72" s="4">
        <v>448.99905307827521</v>
      </c>
    </row>
    <row r="73" spans="1:24" x14ac:dyDescent="0.35">
      <c r="A73" s="2" t="s">
        <v>99</v>
      </c>
      <c r="B73" s="2" t="str">
        <f>+VLOOKUP(A73,'HFM Codes'!$B$2:$C$432,2, FALSE)</f>
        <v>TotalSeal (NC)</v>
      </c>
      <c r="C73" s="2" t="str">
        <f>+VLOOKUP(A73,'HFM Codes'!$B$2:$E$432,4,FALSE)</f>
        <v>International Seals (excl Disposals)</v>
      </c>
      <c r="D73" s="2" t="str">
        <f>+VLOOKUP(A73,'HFM Codes'!$B$2:$D$432,3,FALSE)</f>
        <v>Diploma Australia Seals</v>
      </c>
      <c r="E73" s="4">
        <v>2.8020755400000001</v>
      </c>
      <c r="F73" s="4">
        <v>1.0650325558818265</v>
      </c>
      <c r="G73" s="4">
        <v>1.6755739999999999</v>
      </c>
      <c r="H73" s="4">
        <v>186.09602179745241</v>
      </c>
      <c r="I73" s="4">
        <v>5.0600964662890577</v>
      </c>
      <c r="J73" s="4">
        <v>1.2712269835532806</v>
      </c>
      <c r="K73" s="4">
        <v>5.7555091100625422</v>
      </c>
      <c r="L73" s="4">
        <v>0</v>
      </c>
      <c r="M73" s="4">
        <v>7.7992107665121608</v>
      </c>
      <c r="N73" s="4">
        <v>9.6490416059943716</v>
      </c>
      <c r="O73" s="4">
        <v>16.430000004959926</v>
      </c>
      <c r="P73" s="4">
        <v>0</v>
      </c>
      <c r="Q73" s="4">
        <v>0</v>
      </c>
      <c r="R73" s="4">
        <v>0</v>
      </c>
      <c r="S73" s="4">
        <v>0</v>
      </c>
      <c r="T73" s="4">
        <v>0</v>
      </c>
      <c r="U73" s="4">
        <v>0</v>
      </c>
      <c r="V73" s="4">
        <v>0</v>
      </c>
      <c r="W73" s="4">
        <v>236.53875627482378</v>
      </c>
      <c r="X73" s="4">
        <v>235.9282148307056</v>
      </c>
    </row>
    <row r="74" spans="1:24" hidden="1" x14ac:dyDescent="0.35">
      <c r="A74" s="2" t="s">
        <v>98</v>
      </c>
      <c r="B74" s="2" t="str">
        <f>+VLOOKUP(A74,'HFM Codes'!$B$2:$C$432,2, FALSE)</f>
        <v>AMG Sealing Limited</v>
      </c>
      <c r="C74" s="2" t="str">
        <f>+VLOOKUP(A74,'HFM Codes'!$B$2:$E$432,4,FALSE)</f>
        <v>International Seals (excl Disposals)</v>
      </c>
      <c r="D74" s="2" t="str">
        <f>+VLOOKUP(A74,'HFM Codes'!$B$2:$D$432,3,FALSE)</f>
        <v>R&amp;G Seals and Gaskets</v>
      </c>
      <c r="E74" s="4">
        <v>1.2685994999999999</v>
      </c>
      <c r="F74" s="4">
        <v>6.53323474825166</v>
      </c>
      <c r="G74" s="4">
        <v>3.4827259349999968</v>
      </c>
      <c r="H74" s="4">
        <v>130.01545497304059</v>
      </c>
      <c r="I74" s="4">
        <v>0</v>
      </c>
      <c r="J74" s="4">
        <v>1.4863241843880193</v>
      </c>
      <c r="K74" s="4">
        <v>62.004520705197372</v>
      </c>
      <c r="L74" s="4">
        <v>0.32601323485100003</v>
      </c>
      <c r="M74" s="4">
        <v>0.17392958977743753</v>
      </c>
      <c r="N74" s="4">
        <v>9.13244115</v>
      </c>
      <c r="O74" s="4">
        <v>3.7633127730665725</v>
      </c>
      <c r="P74" s="4">
        <v>0</v>
      </c>
      <c r="Q74" s="4">
        <v>0</v>
      </c>
      <c r="R74" s="4">
        <v>0</v>
      </c>
      <c r="S74" s="4">
        <v>0</v>
      </c>
      <c r="T74" s="4">
        <v>0</v>
      </c>
      <c r="U74" s="4">
        <v>0</v>
      </c>
      <c r="V74" s="4">
        <v>0</v>
      </c>
      <c r="W74" s="4">
        <v>211.65332204532095</v>
      </c>
      <c r="X74" s="4">
        <v>214.70383085857262</v>
      </c>
    </row>
    <row r="75" spans="1:24" hidden="1" x14ac:dyDescent="0.35">
      <c r="A75" s="2" t="s">
        <v>96</v>
      </c>
      <c r="B75" s="2" t="str">
        <f>+VLOOKUP(A75,'HFM Codes'!$B$2:$C$432,2, FALSE)</f>
        <v>Rubberfast</v>
      </c>
      <c r="C75" s="2" t="str">
        <f>+VLOOKUP(A75,'HFM Codes'!$B$2:$E$432,4,FALSE)</f>
        <v>International Seals (excl Disposals)</v>
      </c>
      <c r="D75" s="2" t="str">
        <f>+VLOOKUP(A75,'HFM Codes'!$B$2:$D$432,3,FALSE)</f>
        <v>R&amp;G Seals and Gaskets</v>
      </c>
      <c r="E75" s="4">
        <v>10.6140904</v>
      </c>
      <c r="F75" s="4">
        <v>3.901872273892371</v>
      </c>
      <c r="G75" s="4">
        <v>2.0800035950000004</v>
      </c>
      <c r="H75" s="4">
        <v>95.047557913004752</v>
      </c>
      <c r="I75" s="4">
        <v>0</v>
      </c>
      <c r="J75" s="4">
        <v>2.8342866245483607</v>
      </c>
      <c r="K75" s="4">
        <v>15.62848222930881</v>
      </c>
      <c r="L75" s="4">
        <v>0.66227325526250003</v>
      </c>
      <c r="M75" s="4">
        <v>4.5504753385384555</v>
      </c>
      <c r="N75" s="4">
        <v>6.7566511599999997</v>
      </c>
      <c r="O75" s="4">
        <v>3.8642831656135685</v>
      </c>
      <c r="P75" s="4">
        <v>0</v>
      </c>
      <c r="Q75" s="4">
        <v>0</v>
      </c>
      <c r="R75" s="4">
        <v>0</v>
      </c>
      <c r="S75" s="4">
        <v>1.4805760731664477E-3</v>
      </c>
      <c r="T75" s="4">
        <v>0</v>
      </c>
      <c r="U75" s="4">
        <v>0</v>
      </c>
      <c r="V75" s="4">
        <v>0</v>
      </c>
      <c r="W75" s="4">
        <v>142.03958425734962</v>
      </c>
      <c r="X75" s="4">
        <v>143.86145293624199</v>
      </c>
    </row>
    <row r="76" spans="1:24" hidden="1" x14ac:dyDescent="0.35">
      <c r="A76" s="2" t="s">
        <v>117</v>
      </c>
      <c r="B76" s="2" t="str">
        <f>+VLOOKUP(A76,'HFM Codes'!$B$2:$C$432,2, FALSE)</f>
        <v>DCHI</v>
      </c>
      <c r="C76" s="2" t="str">
        <f>+VLOOKUP(A76,'HFM Codes'!$B$2:$E$432,4,FALSE)</f>
        <v>Life Sciences</v>
      </c>
      <c r="D76" s="2" t="str">
        <f>+VLOOKUP(A76,'HFM Codes'!$B$2:$D$432,3,FALSE)</f>
        <v>Life Sciences</v>
      </c>
      <c r="E76" s="4">
        <v>0</v>
      </c>
      <c r="F76" s="4">
        <v>0</v>
      </c>
      <c r="G76" s="4">
        <v>0</v>
      </c>
      <c r="H76" s="4">
        <v>139.30915489148509</v>
      </c>
      <c r="I76" s="4">
        <v>4.6198863576581592</v>
      </c>
      <c r="J76" s="4">
        <v>0</v>
      </c>
      <c r="K76" s="4">
        <v>0</v>
      </c>
      <c r="L76" s="4">
        <v>0</v>
      </c>
      <c r="M76" s="4">
        <v>104.82950056347434</v>
      </c>
      <c r="N76" s="4">
        <v>5.7894249635966224</v>
      </c>
      <c r="O76" s="4">
        <v>2.1994778808270126</v>
      </c>
      <c r="P76" s="4">
        <v>0</v>
      </c>
      <c r="Q76" s="4">
        <v>0</v>
      </c>
      <c r="R76" s="4">
        <v>0</v>
      </c>
      <c r="S76" s="4">
        <v>0</v>
      </c>
      <c r="T76" s="4">
        <v>0</v>
      </c>
      <c r="U76" s="4">
        <v>0</v>
      </c>
      <c r="V76" s="4">
        <v>0</v>
      </c>
      <c r="W76" s="4">
        <v>256.74744465704123</v>
      </c>
      <c r="X76" s="4">
        <v>256.74744465704123</v>
      </c>
    </row>
    <row r="77" spans="1:24" hidden="1" x14ac:dyDescent="0.35">
      <c r="A77" s="2" t="s">
        <v>144</v>
      </c>
      <c r="B77" s="2" t="str">
        <f>+VLOOKUP(A77,'HFM Codes'!$B$2:$C$432,2, FALSE)</f>
        <v>Controls HO (GBP)</v>
      </c>
      <c r="C77" s="2" t="str">
        <f>+VLOOKUP(A77,'HFM Codes'!$B$2:$E$432,4,FALSE)</f>
        <v>Controls</v>
      </c>
      <c r="D77" s="2" t="str">
        <f>+VLOOKUP(A77,'HFM Codes'!$B$2:$D$432,3,FALSE)</f>
        <v>Controls Disposal</v>
      </c>
      <c r="E77" s="4">
        <v>0</v>
      </c>
      <c r="F77" s="4">
        <v>0</v>
      </c>
      <c r="G77" s="4">
        <v>0</v>
      </c>
      <c r="H77" s="4">
        <v>13.219822852825409</v>
      </c>
      <c r="I77" s="4">
        <v>0</v>
      </c>
      <c r="J77" s="4">
        <v>0</v>
      </c>
      <c r="K77" s="4">
        <v>0</v>
      </c>
      <c r="L77" s="4">
        <v>0</v>
      </c>
      <c r="M77" s="4">
        <v>69.24437879864513</v>
      </c>
      <c r="N77" s="4">
        <v>5.7894249635966224</v>
      </c>
      <c r="O77" s="4">
        <v>0</v>
      </c>
      <c r="P77" s="4">
        <v>0</v>
      </c>
      <c r="Q77" s="4">
        <v>0</v>
      </c>
      <c r="R77" s="4">
        <v>0</v>
      </c>
      <c r="S77" s="4">
        <v>0</v>
      </c>
      <c r="T77" s="4">
        <v>0</v>
      </c>
      <c r="U77" s="4">
        <v>0</v>
      </c>
      <c r="V77" s="4">
        <v>0</v>
      </c>
      <c r="W77" s="4">
        <v>88.253626615067162</v>
      </c>
      <c r="X77" s="4">
        <v>88.253626615067162</v>
      </c>
    </row>
    <row r="78" spans="1:24" hidden="1" x14ac:dyDescent="0.35">
      <c r="A78" s="2" t="s">
        <v>107</v>
      </c>
      <c r="B78" s="2" t="str">
        <f>+VLOOKUP(A78,'HFM Codes'!$B$2:$C$432,2, FALSE)</f>
        <v>Asia</v>
      </c>
      <c r="C78" s="2" t="str">
        <f>+VLOOKUP(A78,'HFM Codes'!$B$2:$E$432,4,FALSE)</f>
        <v>Controls</v>
      </c>
      <c r="D78" s="2" t="str">
        <f>+VLOOKUP(A78,'HFM Codes'!$B$2:$D$432,3,FALSE)</f>
        <v>Specialty Fasteners</v>
      </c>
      <c r="E78" s="4">
        <v>0</v>
      </c>
      <c r="F78" s="4">
        <v>3.2130198000000001</v>
      </c>
      <c r="G78" s="4">
        <v>3.2130198000000001</v>
      </c>
      <c r="H78" s="4">
        <v>2.9498421558176173</v>
      </c>
      <c r="I78" s="4">
        <v>0.86844155274297319</v>
      </c>
      <c r="J78" s="4">
        <v>0.88421055775719704</v>
      </c>
      <c r="K78" s="4">
        <v>6.1851561962756992E-2</v>
      </c>
      <c r="L78" s="4">
        <v>0</v>
      </c>
      <c r="M78" s="4">
        <v>10.810295982849691</v>
      </c>
      <c r="N78" s="4">
        <v>5.7894249635966224</v>
      </c>
      <c r="O78" s="4">
        <v>1.9129315308304402</v>
      </c>
      <c r="P78" s="4">
        <v>0</v>
      </c>
      <c r="Q78" s="4">
        <v>0</v>
      </c>
      <c r="R78" s="4">
        <v>0</v>
      </c>
      <c r="S78" s="4">
        <v>1.4346910727053885E-4</v>
      </c>
      <c r="T78" s="4">
        <v>0</v>
      </c>
      <c r="U78" s="4">
        <v>0</v>
      </c>
      <c r="V78" s="4">
        <v>0</v>
      </c>
      <c r="W78" s="4">
        <v>26.490161574664572</v>
      </c>
      <c r="X78" s="4">
        <v>26.490161574664572</v>
      </c>
    </row>
    <row r="79" spans="1:24" hidden="1" x14ac:dyDescent="0.35">
      <c r="A79" s="2" t="s">
        <v>57</v>
      </c>
      <c r="B79" s="2" t="str">
        <f>+VLOOKUP(A79,'HFM Codes'!$B$2:$C$432,2, FALSE)</f>
        <v>FPE Seals BV</v>
      </c>
      <c r="C79" s="2" t="str">
        <f>+VLOOKUP(A79,'HFM Codes'!$B$2:$E$432,4,FALSE)</f>
        <v>International Seals (excl Disposals)</v>
      </c>
      <c r="D79" s="2" t="str">
        <f>+VLOOKUP(A79,'HFM Codes'!$B$2:$D$432,3,FALSE)</f>
        <v>R&amp;G Seals and Gaskets</v>
      </c>
      <c r="E79" s="4">
        <v>10.31709848</v>
      </c>
      <c r="F79" s="4">
        <v>4.7763971085691503</v>
      </c>
      <c r="G79" s="4">
        <v>2.7937266500000004</v>
      </c>
      <c r="H79" s="4">
        <v>109.9774516059264</v>
      </c>
      <c r="I79" s="4">
        <v>0</v>
      </c>
      <c r="J79" s="4">
        <v>2.584898774394282</v>
      </c>
      <c r="K79" s="4">
        <v>29.713848888516832</v>
      </c>
      <c r="L79" s="4">
        <v>2.3991068879000002E-2</v>
      </c>
      <c r="M79" s="4">
        <v>0.12949655801757651</v>
      </c>
      <c r="N79" s="4">
        <v>5.7894249635966224</v>
      </c>
      <c r="O79" s="4">
        <v>5.121888393836616</v>
      </c>
      <c r="P79" s="4">
        <v>0</v>
      </c>
      <c r="Q79" s="4">
        <v>0</v>
      </c>
      <c r="R79" s="4">
        <v>0</v>
      </c>
      <c r="S79" s="4">
        <v>5.0122827390033209E-2</v>
      </c>
      <c r="T79" s="4">
        <v>0</v>
      </c>
      <c r="U79" s="4">
        <v>0</v>
      </c>
      <c r="V79" s="4">
        <v>0</v>
      </c>
      <c r="W79" s="4">
        <v>166.50194821055734</v>
      </c>
      <c r="X79" s="4">
        <v>168.48461866912649</v>
      </c>
    </row>
    <row r="80" spans="1:24" hidden="1" x14ac:dyDescent="0.35">
      <c r="A80" s="2" t="s">
        <v>14</v>
      </c>
      <c r="B80" s="2" t="str">
        <f>+VLOOKUP(A80,'HFM Codes'!$B$2:$C$432,2, FALSE)</f>
        <v>Lantech Solutions</v>
      </c>
      <c r="C80" s="2" t="str">
        <f>+VLOOKUP(A80,'HFM Codes'!$B$2:$E$432,4,FALSE)</f>
        <v>International Seals (excl Disposals)</v>
      </c>
      <c r="D80" s="2" t="str">
        <f>+VLOOKUP(A80,'HFM Codes'!$B$2:$D$432,3,FALSE)</f>
        <v>R&amp;G Industrial</v>
      </c>
      <c r="E80" s="4">
        <v>6.0488836633999998</v>
      </c>
      <c r="F80" s="4">
        <v>6.8423852709927475</v>
      </c>
      <c r="G80" s="4">
        <v>3.6475273824999999</v>
      </c>
      <c r="H80" s="4">
        <v>214.13675794698884</v>
      </c>
      <c r="I80" s="4">
        <v>14.787441482207914</v>
      </c>
      <c r="J80" s="4">
        <v>2.4150690927674505</v>
      </c>
      <c r="K80" s="4">
        <v>24.036025543308998</v>
      </c>
      <c r="L80" s="4">
        <v>1.2300058791499999</v>
      </c>
      <c r="M80" s="4">
        <v>4.0565082205593317</v>
      </c>
      <c r="N80" s="4">
        <v>5.4646720799999997</v>
      </c>
      <c r="O80" s="4">
        <v>5.7014577271941675</v>
      </c>
      <c r="P80" s="4">
        <v>0</v>
      </c>
      <c r="Q80" s="4">
        <v>0</v>
      </c>
      <c r="R80" s="4">
        <v>0</v>
      </c>
      <c r="S80" s="4">
        <v>2.280662156297425E-2</v>
      </c>
      <c r="T80" s="4">
        <v>0</v>
      </c>
      <c r="U80" s="4">
        <v>0</v>
      </c>
      <c r="V80" s="4">
        <v>0</v>
      </c>
      <c r="W80" s="4">
        <v>281.5471556396397</v>
      </c>
      <c r="X80" s="4">
        <v>284.74201352813242</v>
      </c>
    </row>
    <row r="81" spans="1:24" hidden="1" x14ac:dyDescent="0.35">
      <c r="A81" s="2" t="s">
        <v>50</v>
      </c>
      <c r="B81" s="2" t="str">
        <f>+VLOOKUP(A81,'HFM Codes'!$B$2:$C$432,2, FALSE)</f>
        <v>S&amp;W - Sweden</v>
      </c>
      <c r="C81" s="2" t="str">
        <f>+VLOOKUP(A81,'HFM Codes'!$B$2:$E$432,4,FALSE)</f>
        <v>Life Sciences</v>
      </c>
      <c r="D81" s="2" t="str">
        <f>+VLOOKUP(A81,'HFM Codes'!$B$2:$D$432,3,FALSE)</f>
        <v>Life Sciences Nordics</v>
      </c>
      <c r="E81" s="4">
        <v>3.7419148799999995</v>
      </c>
      <c r="F81" s="4">
        <v>0.86675783940586837</v>
      </c>
      <c r="G81" s="4">
        <v>0.14353937999999999</v>
      </c>
      <c r="H81" s="4">
        <v>89.184021437872886</v>
      </c>
      <c r="I81" s="4">
        <v>0</v>
      </c>
      <c r="J81" s="4">
        <v>1.0800854052641959</v>
      </c>
      <c r="K81" s="4">
        <v>40.120767804826158</v>
      </c>
      <c r="L81" s="4">
        <v>1.4103342000000004E-3</v>
      </c>
      <c r="M81" s="4">
        <v>3.6841405813287862</v>
      </c>
      <c r="N81" s="4">
        <v>5.0919359400000008</v>
      </c>
      <c r="O81" s="4">
        <v>4.1465538078092425</v>
      </c>
      <c r="P81" s="4">
        <v>0</v>
      </c>
      <c r="Q81" s="4">
        <v>0</v>
      </c>
      <c r="R81" s="4">
        <v>0</v>
      </c>
      <c r="S81" s="4">
        <v>1.6691873793553247E-2</v>
      </c>
      <c r="T81" s="4">
        <v>0</v>
      </c>
      <c r="U81" s="4">
        <v>0</v>
      </c>
      <c r="V81" s="4">
        <v>0</v>
      </c>
      <c r="W81" s="4">
        <v>147.21106144509483</v>
      </c>
      <c r="X81" s="4">
        <v>147.9342799045007</v>
      </c>
    </row>
    <row r="82" spans="1:24" hidden="1" x14ac:dyDescent="0.35">
      <c r="A82" s="2" t="s">
        <v>146</v>
      </c>
      <c r="B82" s="2" t="str">
        <f>+VLOOKUP(A82,'HFM Codes'!$B$2:$C$432,2, FALSE)</f>
        <v>International Seals HO (GBP)</v>
      </c>
      <c r="C82" s="2" t="str">
        <f>+VLOOKUP(A82,'HFM Codes'!$B$2:$E$432,4,FALSE)</f>
        <v>International Seals (excl Disposals)</v>
      </c>
      <c r="D82" s="2" t="str">
        <f>+VLOOKUP(A82,'HFM Codes'!$B$2:$D$432,3,FALSE)</f>
        <v>International Seals HO</v>
      </c>
      <c r="E82" s="4">
        <v>0</v>
      </c>
      <c r="F82" s="4">
        <v>0</v>
      </c>
      <c r="G82" s="4">
        <v>0</v>
      </c>
      <c r="H82" s="4">
        <v>3.1256797945696237</v>
      </c>
      <c r="I82" s="4">
        <v>0</v>
      </c>
      <c r="J82" s="4">
        <v>0</v>
      </c>
      <c r="K82" s="4">
        <v>0</v>
      </c>
      <c r="L82" s="4">
        <v>0</v>
      </c>
      <c r="M82" s="4">
        <v>98.743867362133003</v>
      </c>
      <c r="N82" s="4">
        <v>3.8596166423977483</v>
      </c>
      <c r="O82" s="4">
        <v>0</v>
      </c>
      <c r="P82" s="4">
        <v>0</v>
      </c>
      <c r="Q82" s="4">
        <v>0</v>
      </c>
      <c r="R82" s="4">
        <v>0</v>
      </c>
      <c r="S82" s="4">
        <v>0</v>
      </c>
      <c r="T82" s="4">
        <v>0</v>
      </c>
      <c r="U82" s="4">
        <v>0</v>
      </c>
      <c r="V82" s="4">
        <v>0</v>
      </c>
      <c r="W82" s="4">
        <v>105.72916379910038</v>
      </c>
      <c r="X82" s="4">
        <v>105.72916379910038</v>
      </c>
    </row>
    <row r="83" spans="1:24" hidden="1" x14ac:dyDescent="0.35">
      <c r="A83" s="2" t="s">
        <v>5</v>
      </c>
      <c r="B83" s="2" t="str">
        <f>+VLOOKUP(A83,'HFM Codes'!$B$2:$C$432,2, FALSE)</f>
        <v>Fast Gaskets and Parts Limited</v>
      </c>
      <c r="C83" s="2" t="str">
        <f>+VLOOKUP(A83,'HFM Codes'!$B$2:$E$432,4,FALSE)</f>
        <v>International Seals (excl Disposals)</v>
      </c>
      <c r="D83" s="2" t="str">
        <f>+VLOOKUP(A83,'HFM Codes'!$B$2:$D$432,3,FALSE)</f>
        <v>R&amp;G Seals and Gaskets</v>
      </c>
      <c r="E83" s="4">
        <v>7.9055065999999998</v>
      </c>
      <c r="F83" s="4">
        <v>3.6450204104729629</v>
      </c>
      <c r="G83" s="4">
        <v>1.9430814299999994</v>
      </c>
      <c r="H83" s="4">
        <v>83.899870643929461</v>
      </c>
      <c r="I83" s="4">
        <v>0</v>
      </c>
      <c r="J83" s="4">
        <v>2.3001523871655651</v>
      </c>
      <c r="K83" s="4">
        <v>15.204352969123933</v>
      </c>
      <c r="L83" s="4">
        <v>0.23857961218830004</v>
      </c>
      <c r="M83" s="4">
        <v>1.5707149216137533</v>
      </c>
      <c r="N83" s="4">
        <v>3.2862438000000003</v>
      </c>
      <c r="O83" s="4">
        <v>2.1518438303228864</v>
      </c>
      <c r="P83" s="4">
        <v>0</v>
      </c>
      <c r="Q83" s="4">
        <v>0</v>
      </c>
      <c r="R83" s="4">
        <v>0</v>
      </c>
      <c r="S83" s="4">
        <v>1.1204855569532672E-2</v>
      </c>
      <c r="T83" s="4">
        <v>0</v>
      </c>
      <c r="U83" s="4">
        <v>0</v>
      </c>
      <c r="V83" s="4">
        <v>0</v>
      </c>
      <c r="W83" s="4">
        <v>118.51155104991344</v>
      </c>
      <c r="X83" s="4">
        <v>120.2134900303864</v>
      </c>
    </row>
    <row r="84" spans="1:24" hidden="1" x14ac:dyDescent="0.35">
      <c r="A84" s="2" t="s">
        <v>95</v>
      </c>
      <c r="B84" s="2" t="str">
        <f>+VLOOKUP(A84,'HFM Codes'!$B$2:$C$432,2, FALSE)</f>
        <v>One Stop Sealing</v>
      </c>
      <c r="C84" s="2" t="str">
        <f>+VLOOKUP(A84,'HFM Codes'!$B$2:$E$432,4,FALSE)</f>
        <v>International Seals (excl Disposals)</v>
      </c>
      <c r="D84" s="2" t="str">
        <f>+VLOOKUP(A84,'HFM Codes'!$B$2:$D$432,3,FALSE)</f>
        <v>R&amp;G Industrial</v>
      </c>
      <c r="E84" s="4">
        <v>1.8341250000000002</v>
      </c>
      <c r="F84" s="4">
        <v>13.215034198995282</v>
      </c>
      <c r="G84" s="4">
        <v>7.0446484950000032</v>
      </c>
      <c r="H84" s="4">
        <v>174.53011733528422</v>
      </c>
      <c r="I84" s="4">
        <v>0</v>
      </c>
      <c r="J84" s="4">
        <v>2.8262432252313872</v>
      </c>
      <c r="K84" s="4">
        <v>49.931312698835555</v>
      </c>
      <c r="L84" s="4">
        <v>1.2937811053251</v>
      </c>
      <c r="M84" s="4">
        <v>2.9989625671569207</v>
      </c>
      <c r="N84" s="4">
        <v>2.8128371600000004</v>
      </c>
      <c r="O84" s="4">
        <v>5.3208392208743298</v>
      </c>
      <c r="P84" s="4">
        <v>0</v>
      </c>
      <c r="Q84" s="4">
        <v>0</v>
      </c>
      <c r="R84" s="4">
        <v>0</v>
      </c>
      <c r="S84" s="4">
        <v>2.7303105867958387E-2</v>
      </c>
      <c r="T84" s="4">
        <v>0</v>
      </c>
      <c r="U84" s="4">
        <v>0</v>
      </c>
      <c r="V84" s="4">
        <v>0</v>
      </c>
      <c r="W84" s="4">
        <v>248.62016991357544</v>
      </c>
      <c r="X84" s="4">
        <v>254.79055561757073</v>
      </c>
    </row>
    <row r="85" spans="1:24" hidden="1" x14ac:dyDescent="0.35">
      <c r="A85" s="2" t="s">
        <v>147</v>
      </c>
      <c r="B85" s="2" t="str">
        <f>+VLOOKUP(A85,'HFM Codes'!$B$2:$C$432,2, FALSE)</f>
        <v>Life Science HO (GBP)</v>
      </c>
      <c r="C85" s="2" t="str">
        <f>+VLOOKUP(A85,'HFM Codes'!$B$2:$E$432,4,FALSE)</f>
        <v>Life Sciences</v>
      </c>
      <c r="D85" s="2" t="str">
        <f>+VLOOKUP(A85,'HFM Codes'!$B$2:$D$432,3,FALSE)</f>
        <v>Life Sciences</v>
      </c>
      <c r="E85" s="4">
        <v>0</v>
      </c>
      <c r="F85" s="4">
        <v>0</v>
      </c>
      <c r="G85" s="4">
        <v>0</v>
      </c>
      <c r="H85" s="4">
        <v>3.2925178074929358</v>
      </c>
      <c r="I85" s="4">
        <v>0</v>
      </c>
      <c r="J85" s="4">
        <v>0</v>
      </c>
      <c r="K85" s="4">
        <v>0</v>
      </c>
      <c r="L85" s="4">
        <v>0</v>
      </c>
      <c r="M85" s="4">
        <v>143.98193766447244</v>
      </c>
      <c r="N85" s="4">
        <v>1.9298083211988741</v>
      </c>
      <c r="O85" s="4">
        <v>0</v>
      </c>
      <c r="P85" s="4">
        <v>0</v>
      </c>
      <c r="Q85" s="4">
        <v>0</v>
      </c>
      <c r="R85" s="4">
        <v>0</v>
      </c>
      <c r="S85" s="4">
        <v>0</v>
      </c>
      <c r="T85" s="4">
        <v>0</v>
      </c>
      <c r="U85" s="4">
        <v>0</v>
      </c>
      <c r="V85" s="4">
        <v>0</v>
      </c>
      <c r="W85" s="4">
        <v>149.20426379316424</v>
      </c>
      <c r="X85" s="4">
        <v>149.20426379316424</v>
      </c>
    </row>
    <row r="86" spans="1:24" hidden="1" x14ac:dyDescent="0.35">
      <c r="A86" s="2" t="s">
        <v>120</v>
      </c>
      <c r="B86" s="2" t="str">
        <f>+VLOOKUP(A86,'HFM Codes'!$B$2:$C$432,2, FALSE)</f>
        <v>Ascome (Clarendon)</v>
      </c>
      <c r="C86" s="2" t="str">
        <f>+VLOOKUP(A86,'HFM Codes'!$B$2:$E$432,4,FALSE)</f>
        <v>Controls</v>
      </c>
      <c r="D86" s="2" t="str">
        <f>+VLOOKUP(A86,'HFM Codes'!$B$2:$D$432,3,FALSE)</f>
        <v>Specialty Fasteners</v>
      </c>
      <c r="E86" s="4">
        <v>0</v>
      </c>
      <c r="F86" s="4">
        <v>0</v>
      </c>
      <c r="G86" s="4">
        <v>0</v>
      </c>
      <c r="H86" s="4">
        <v>1.8756326225961768</v>
      </c>
      <c r="I86" s="4">
        <v>0</v>
      </c>
      <c r="J86" s="4">
        <v>0</v>
      </c>
      <c r="K86" s="4">
        <v>0</v>
      </c>
      <c r="L86" s="4">
        <v>0</v>
      </c>
      <c r="M86" s="4">
        <v>5.3543504193295082</v>
      </c>
      <c r="N86" s="4">
        <v>1.9298083211988741</v>
      </c>
      <c r="O86" s="4">
        <v>0</v>
      </c>
      <c r="P86" s="4">
        <v>0</v>
      </c>
      <c r="Q86" s="4">
        <v>0</v>
      </c>
      <c r="R86" s="4">
        <v>0</v>
      </c>
      <c r="S86" s="4">
        <v>0</v>
      </c>
      <c r="T86" s="4">
        <v>0</v>
      </c>
      <c r="U86" s="4">
        <v>0</v>
      </c>
      <c r="V86" s="4">
        <v>0</v>
      </c>
      <c r="W86" s="4">
        <v>9.1597913631245582</v>
      </c>
      <c r="X86" s="4">
        <v>9.1597913631245582</v>
      </c>
    </row>
    <row r="87" spans="1:24" hidden="1" x14ac:dyDescent="0.35">
      <c r="A87" s="2" t="s">
        <v>12</v>
      </c>
      <c r="B87" s="2" t="str">
        <f>+VLOOKUP(A87,'HFM Codes'!$B$2:$C$432,2, FALSE)</f>
        <v>GM Medical Sweden</v>
      </c>
      <c r="C87" s="2" t="str">
        <f>+VLOOKUP(A87,'HFM Codes'!$B$2:$E$432,4,FALSE)</f>
        <v>Life Sciences</v>
      </c>
      <c r="D87" s="2" t="str">
        <f>+VLOOKUP(A87,'HFM Codes'!$B$2:$D$432,3,FALSE)</f>
        <v>Life Sciences Nordics</v>
      </c>
      <c r="E87" s="4">
        <v>0</v>
      </c>
      <c r="F87" s="4">
        <v>0.92973844855451637</v>
      </c>
      <c r="G87" s="4">
        <v>0.15396927999999999</v>
      </c>
      <c r="H87" s="4">
        <v>197.28823901046849</v>
      </c>
      <c r="I87" s="4">
        <v>0</v>
      </c>
      <c r="J87" s="4">
        <v>0.17874703367309289</v>
      </c>
      <c r="K87" s="4">
        <v>2.4166475616242322</v>
      </c>
      <c r="L87" s="4">
        <v>0</v>
      </c>
      <c r="M87" s="4">
        <v>4.0009754519402261</v>
      </c>
      <c r="N87" s="4">
        <v>1.9298083211988741</v>
      </c>
      <c r="O87" s="4">
        <v>0</v>
      </c>
      <c r="P87" s="4">
        <v>0</v>
      </c>
      <c r="Q87" s="4">
        <v>0</v>
      </c>
      <c r="R87" s="4">
        <v>0</v>
      </c>
      <c r="S87" s="4">
        <v>0</v>
      </c>
      <c r="T87" s="4">
        <v>0</v>
      </c>
      <c r="U87" s="4">
        <v>0</v>
      </c>
      <c r="V87" s="4">
        <v>0</v>
      </c>
      <c r="W87" s="4">
        <v>205.96838665890493</v>
      </c>
      <c r="X87" s="4">
        <v>206.74415582745942</v>
      </c>
    </row>
    <row r="88" spans="1:24" hidden="1" x14ac:dyDescent="0.35">
      <c r="A88" s="2" t="s">
        <v>164</v>
      </c>
      <c r="B88" s="2" t="str">
        <f>+VLOOKUP(A88,'HFM Codes'!$B$2:$C$432,2, FALSE)</f>
        <v>NA Seals Head Office</v>
      </c>
      <c r="C88" s="2" t="str">
        <f>+VLOOKUP(A88,'HFM Codes'!$B$2:$E$432,4,FALSE)</f>
        <v>North American Seals</v>
      </c>
      <c r="D88" s="2" t="str">
        <f>+VLOOKUP(A88,'HFM Codes'!$B$2:$D$432,3,FALSE)</f>
        <v>NA Seals Head Office</v>
      </c>
      <c r="E88" s="4">
        <v>0</v>
      </c>
      <c r="F88" s="4">
        <v>0</v>
      </c>
      <c r="G88" s="4">
        <v>0</v>
      </c>
      <c r="H88" s="4">
        <v>0</v>
      </c>
      <c r="I88" s="4">
        <v>0</v>
      </c>
      <c r="J88" s="4">
        <v>0</v>
      </c>
      <c r="K88" s="4">
        <v>0</v>
      </c>
      <c r="L88" s="4">
        <v>0</v>
      </c>
      <c r="M88" s="4">
        <v>0</v>
      </c>
      <c r="N88" s="4">
        <v>1.9298083211988741</v>
      </c>
      <c r="O88" s="4">
        <v>0</v>
      </c>
      <c r="P88" s="4">
        <v>0</v>
      </c>
      <c r="Q88" s="4">
        <v>0</v>
      </c>
      <c r="R88" s="4">
        <v>0</v>
      </c>
      <c r="S88" s="4">
        <v>0</v>
      </c>
      <c r="T88" s="4">
        <v>0</v>
      </c>
      <c r="U88" s="4">
        <v>0</v>
      </c>
      <c r="V88" s="4">
        <v>0</v>
      </c>
      <c r="W88" s="4">
        <v>1.9298083211988741</v>
      </c>
      <c r="X88" s="4">
        <v>1.9298083211988741</v>
      </c>
    </row>
    <row r="89" spans="1:24" hidden="1" x14ac:dyDescent="0.35">
      <c r="A89" s="2" t="s">
        <v>166</v>
      </c>
      <c r="B89" s="2" t="str">
        <f>+VLOOKUP(A89,'HFM Codes'!$B$2:$C$432,2, FALSE)</f>
        <v>Hercules US - CrossSell</v>
      </c>
      <c r="C89" s="2" t="str">
        <f>+VLOOKUP(A89,'HFM Codes'!$B$2:$E$432,4,FALSE)</f>
        <v>North American Seals</v>
      </c>
      <c r="D89" s="2" t="str">
        <f>+VLOOKUP(A89,'HFM Codes'!$B$2:$D$432,3,FALSE)</f>
        <v>Aftermarket</v>
      </c>
      <c r="E89" s="4">
        <v>0</v>
      </c>
      <c r="F89" s="4">
        <v>0</v>
      </c>
      <c r="G89" s="4">
        <v>0</v>
      </c>
      <c r="H89" s="4">
        <v>3.7366397658215811E-2</v>
      </c>
      <c r="I89" s="4">
        <v>0</v>
      </c>
      <c r="J89" s="4">
        <v>0</v>
      </c>
      <c r="K89" s="4">
        <v>0</v>
      </c>
      <c r="L89" s="4">
        <v>0</v>
      </c>
      <c r="M89" s="4">
        <v>0</v>
      </c>
      <c r="N89" s="4">
        <v>1.9298083211988741</v>
      </c>
      <c r="O89" s="4">
        <v>0</v>
      </c>
      <c r="P89" s="4">
        <v>0</v>
      </c>
      <c r="Q89" s="4">
        <v>0</v>
      </c>
      <c r="R89" s="4">
        <v>0</v>
      </c>
      <c r="S89" s="4">
        <v>0</v>
      </c>
      <c r="T89" s="4">
        <v>0</v>
      </c>
      <c r="U89" s="4">
        <v>0</v>
      </c>
      <c r="V89" s="4">
        <v>0</v>
      </c>
      <c r="W89" s="4">
        <v>1.9671747188570898</v>
      </c>
      <c r="X89" s="4">
        <v>1.9671747188570898</v>
      </c>
    </row>
    <row r="90" spans="1:24" hidden="1" x14ac:dyDescent="0.35">
      <c r="A90" s="2" t="s">
        <v>128</v>
      </c>
      <c r="B90" s="2" t="str">
        <f>+VLOOKUP(A90,'HFM Codes'!$B$2:$C$432,2, FALSE)</f>
        <v>Technisil GmbH</v>
      </c>
      <c r="C90" s="2" t="str">
        <f>+VLOOKUP(A90,'HFM Codes'!$B$2:$E$432,4,FALSE)</f>
        <v>Controls</v>
      </c>
      <c r="D90" s="2" t="str">
        <f>+VLOOKUP(A90,'HFM Codes'!$B$2:$D$432,3,FALSE)</f>
        <v>Techsil</v>
      </c>
      <c r="E90" s="4">
        <v>0</v>
      </c>
      <c r="F90" s="4">
        <v>0</v>
      </c>
      <c r="G90" s="4">
        <v>0</v>
      </c>
      <c r="H90" s="4">
        <v>0.7118337427084569</v>
      </c>
      <c r="I90" s="4">
        <v>0</v>
      </c>
      <c r="J90" s="4">
        <v>0</v>
      </c>
      <c r="K90" s="4">
        <v>0</v>
      </c>
      <c r="L90" s="4">
        <v>0</v>
      </c>
      <c r="M90" s="4">
        <v>0</v>
      </c>
      <c r="N90" s="4">
        <v>1.9298083211988741</v>
      </c>
      <c r="O90" s="4">
        <v>0</v>
      </c>
      <c r="P90" s="4">
        <v>0</v>
      </c>
      <c r="Q90" s="4">
        <v>0</v>
      </c>
      <c r="R90" s="4">
        <v>0</v>
      </c>
      <c r="S90" s="4">
        <v>0</v>
      </c>
      <c r="T90" s="4">
        <v>0</v>
      </c>
      <c r="U90" s="4">
        <v>0</v>
      </c>
      <c r="V90" s="4">
        <v>0</v>
      </c>
      <c r="W90" s="4">
        <v>2.641642063907331</v>
      </c>
      <c r="X90" s="4">
        <v>2.641642063907331</v>
      </c>
    </row>
    <row r="91" spans="1:24" hidden="1" x14ac:dyDescent="0.35">
      <c r="A91" s="2" t="s">
        <v>163</v>
      </c>
      <c r="B91" s="2" t="str">
        <f>+VLOOKUP(A91,'HFM Codes'!$B$2:$C$432,2, FALSE)</f>
        <v>Life Science HO (USD)</v>
      </c>
      <c r="C91" s="2" t="str">
        <f>+VLOOKUP(A91,'HFM Codes'!$B$2:$E$432,4,FALSE)</f>
        <v>Life Sciences</v>
      </c>
      <c r="D91" s="2" t="str">
        <f>+VLOOKUP(A91,'HFM Codes'!$B$2:$D$432,3,FALSE)</f>
        <v>Life Sciences</v>
      </c>
      <c r="E91" s="4">
        <v>0</v>
      </c>
      <c r="F91" s="4">
        <v>0</v>
      </c>
      <c r="G91" s="4">
        <v>0</v>
      </c>
      <c r="H91" s="4">
        <v>26.846844073335429</v>
      </c>
      <c r="I91" s="4">
        <v>0</v>
      </c>
      <c r="J91" s="4">
        <v>0</v>
      </c>
      <c r="K91" s="4">
        <v>0</v>
      </c>
      <c r="L91" s="4">
        <v>0</v>
      </c>
      <c r="M91" s="4">
        <v>0</v>
      </c>
      <c r="N91" s="4">
        <v>1.9298083211988741</v>
      </c>
      <c r="O91" s="4">
        <v>0</v>
      </c>
      <c r="P91" s="4">
        <v>0</v>
      </c>
      <c r="Q91" s="4">
        <v>0</v>
      </c>
      <c r="R91" s="4">
        <v>0</v>
      </c>
      <c r="S91" s="4">
        <v>0</v>
      </c>
      <c r="T91" s="4">
        <v>0</v>
      </c>
      <c r="U91" s="4">
        <v>0</v>
      </c>
      <c r="V91" s="4">
        <v>0</v>
      </c>
      <c r="W91" s="4">
        <v>28.776652394534302</v>
      </c>
      <c r="X91" s="4">
        <v>28.776652394534302</v>
      </c>
    </row>
    <row r="92" spans="1:24" hidden="1" x14ac:dyDescent="0.35">
      <c r="A92" s="2" t="s">
        <v>161</v>
      </c>
      <c r="B92" s="2" t="str">
        <f>+VLOOKUP(A92,'HFM Codes'!$B$2:$C$432,2, FALSE)</f>
        <v>Controls HO (USD)</v>
      </c>
      <c r="C92" s="2" t="str">
        <f>+VLOOKUP(A92,'HFM Codes'!$B$2:$E$432,4,FALSE)</f>
        <v>Controls</v>
      </c>
      <c r="D92" s="2" t="str">
        <f>+VLOOKUP(A92,'HFM Codes'!$B$2:$D$432,3,FALSE)</f>
        <v>Controls Disposal</v>
      </c>
      <c r="E92" s="4">
        <v>0</v>
      </c>
      <c r="F92" s="4">
        <v>0</v>
      </c>
      <c r="G92" s="4">
        <v>0</v>
      </c>
      <c r="H92" s="4">
        <v>51.384638992397889</v>
      </c>
      <c r="I92" s="4">
        <v>0</v>
      </c>
      <c r="J92" s="4">
        <v>0</v>
      </c>
      <c r="K92" s="4">
        <v>0</v>
      </c>
      <c r="L92" s="4">
        <v>0</v>
      </c>
      <c r="M92" s="4">
        <v>0</v>
      </c>
      <c r="N92" s="4">
        <v>1.9298083211988741</v>
      </c>
      <c r="O92" s="4">
        <v>0</v>
      </c>
      <c r="P92" s="4">
        <v>0</v>
      </c>
      <c r="Q92" s="4">
        <v>0</v>
      </c>
      <c r="R92" s="4">
        <v>0</v>
      </c>
      <c r="S92" s="4">
        <v>0</v>
      </c>
      <c r="T92" s="4">
        <v>0</v>
      </c>
      <c r="U92" s="4">
        <v>0</v>
      </c>
      <c r="V92" s="4">
        <v>0</v>
      </c>
      <c r="W92" s="4">
        <v>53.314447313596766</v>
      </c>
      <c r="X92" s="4">
        <v>53.314447313596766</v>
      </c>
    </row>
    <row r="93" spans="1:24" hidden="1" x14ac:dyDescent="0.35">
      <c r="A93" s="2" t="s">
        <v>131</v>
      </c>
      <c r="B93" s="2" t="str">
        <f>+VLOOKUP(A93,'HFM Codes'!$B$2:$C$432,2, FALSE)</f>
        <v>CSF Ltd - Support</v>
      </c>
      <c r="C93" s="2" t="str">
        <f>+VLOOKUP(A93,'HFM Codes'!$B$2:$E$432,4,FALSE)</f>
        <v>Controls</v>
      </c>
      <c r="D93" s="2" t="str">
        <f>+VLOOKUP(A93,'HFM Codes'!$B$2:$D$432,3,FALSE)</f>
        <v>Specialty Fasteners</v>
      </c>
      <c r="E93" s="4">
        <v>0</v>
      </c>
      <c r="F93" s="4">
        <v>0</v>
      </c>
      <c r="G93" s="4">
        <v>0</v>
      </c>
      <c r="H93" s="4">
        <v>131.72537222791087</v>
      </c>
      <c r="I93" s="4">
        <v>0</v>
      </c>
      <c r="J93" s="4">
        <v>0</v>
      </c>
      <c r="K93" s="4">
        <v>0</v>
      </c>
      <c r="L93" s="4">
        <v>0</v>
      </c>
      <c r="M93" s="4">
        <v>88.433488382503995</v>
      </c>
      <c r="N93" s="4">
        <v>0</v>
      </c>
      <c r="O93" s="4">
        <v>18.739242169881216</v>
      </c>
      <c r="P93" s="4">
        <v>0</v>
      </c>
      <c r="Q93" s="4">
        <v>0</v>
      </c>
      <c r="R93" s="4">
        <v>0</v>
      </c>
      <c r="S93" s="4">
        <v>0</v>
      </c>
      <c r="T93" s="4">
        <v>0</v>
      </c>
      <c r="U93" s="4">
        <v>0</v>
      </c>
      <c r="V93" s="4">
        <v>0</v>
      </c>
      <c r="W93" s="4">
        <v>238.89810278029609</v>
      </c>
      <c r="X93" s="4">
        <v>238.89810278029609</v>
      </c>
    </row>
    <row r="94" spans="1:24" hidden="1" x14ac:dyDescent="0.35">
      <c r="A94" s="2" t="s">
        <v>33</v>
      </c>
      <c r="B94" s="2" t="str">
        <f>+VLOOKUP(A94,'HFM Codes'!$B$2:$C$432,2, FALSE)</f>
        <v>CSF Inc - Support</v>
      </c>
      <c r="C94" s="2" t="str">
        <f>+VLOOKUP(A94,'HFM Codes'!$B$2:$E$432,4,FALSE)</f>
        <v>Controls</v>
      </c>
      <c r="D94" s="2" t="str">
        <f>+VLOOKUP(A94,'HFM Codes'!$B$2:$D$432,3,FALSE)</f>
        <v>Specialty Fasteners</v>
      </c>
      <c r="E94" s="4">
        <v>4.4244244588615214</v>
      </c>
      <c r="F94" s="4">
        <v>13.099644325798076</v>
      </c>
      <c r="G94" s="4">
        <v>11.812422479889769</v>
      </c>
      <c r="H94" s="4">
        <v>1094.8987361165177</v>
      </c>
      <c r="I94" s="4">
        <v>0</v>
      </c>
      <c r="J94" s="4">
        <v>5.2493411684360458</v>
      </c>
      <c r="K94" s="4">
        <v>119.22582431203665</v>
      </c>
      <c r="L94" s="4">
        <v>5.4080686253033985</v>
      </c>
      <c r="M94" s="4">
        <v>39.405869043100175</v>
      </c>
      <c r="N94" s="4">
        <v>0</v>
      </c>
      <c r="O94" s="4">
        <v>29.827734966887974</v>
      </c>
      <c r="P94" s="4">
        <v>0</v>
      </c>
      <c r="Q94" s="4">
        <v>0</v>
      </c>
      <c r="R94" s="4">
        <v>0</v>
      </c>
      <c r="S94" s="4">
        <v>0.26140620578233015</v>
      </c>
      <c r="T94" s="4">
        <v>0</v>
      </c>
      <c r="U94" s="4">
        <v>0</v>
      </c>
      <c r="V94" s="4">
        <v>0</v>
      </c>
      <c r="W94" s="4">
        <v>1310.5138273768157</v>
      </c>
      <c r="X94" s="4">
        <v>1311.801049222724</v>
      </c>
    </row>
    <row r="95" spans="1:24" hidden="1" x14ac:dyDescent="0.35">
      <c r="A95" s="2" t="s">
        <v>151</v>
      </c>
      <c r="B95" s="2" t="str">
        <f>+VLOOKUP(A95,'HFM Codes'!$B$2:$C$432,2, FALSE)</f>
        <v>CSF Inc - Sales</v>
      </c>
      <c r="C95" s="2" t="str">
        <f>+VLOOKUP(A95,'HFM Codes'!$B$2:$E$432,4,FALSE)</f>
        <v>Controls</v>
      </c>
      <c r="D95" s="2" t="str">
        <f>+VLOOKUP(A95,'HFM Codes'!$B$2:$D$432,3,FALSE)</f>
        <v>Specialty Fasteners</v>
      </c>
      <c r="E95" s="4">
        <v>0</v>
      </c>
      <c r="F95" s="4">
        <v>0</v>
      </c>
      <c r="G95" s="4">
        <v>0</v>
      </c>
      <c r="H95" s="4">
        <v>19.223449457574873</v>
      </c>
      <c r="I95" s="4">
        <v>0</v>
      </c>
      <c r="J95" s="4">
        <v>0</v>
      </c>
      <c r="K95" s="4">
        <v>0</v>
      </c>
      <c r="L95" s="4">
        <v>0</v>
      </c>
      <c r="M95" s="4">
        <v>35.973140203703018</v>
      </c>
      <c r="N95" s="4">
        <v>0</v>
      </c>
      <c r="O95" s="4">
        <v>0</v>
      </c>
      <c r="P95" s="4">
        <v>0</v>
      </c>
      <c r="Q95" s="4">
        <v>0</v>
      </c>
      <c r="R95" s="4">
        <v>0</v>
      </c>
      <c r="S95" s="4">
        <v>0</v>
      </c>
      <c r="T95" s="4">
        <v>0</v>
      </c>
      <c r="U95" s="4">
        <v>0</v>
      </c>
      <c r="V95" s="4">
        <v>0</v>
      </c>
      <c r="W95" s="4">
        <v>55.196589661277891</v>
      </c>
      <c r="X95" s="4">
        <v>55.196589661277891</v>
      </c>
    </row>
    <row r="96" spans="1:24" hidden="1" x14ac:dyDescent="0.35">
      <c r="A96" s="2" t="s">
        <v>132</v>
      </c>
      <c r="B96" s="2" t="str">
        <f>+VLOOKUP(A96,'HFM Codes'!$B$2:$C$432,2, FALSE)</f>
        <v>CSF Ltd - Sales Aerospace</v>
      </c>
      <c r="C96" s="2" t="str">
        <f>+VLOOKUP(A96,'HFM Codes'!$B$2:$E$432,4,FALSE)</f>
        <v>Controls</v>
      </c>
      <c r="D96" s="2" t="str">
        <f>+VLOOKUP(A96,'HFM Codes'!$B$2:$D$432,3,FALSE)</f>
        <v>Specialty Fasteners</v>
      </c>
      <c r="E96" s="4">
        <v>0</v>
      </c>
      <c r="F96" s="4">
        <v>0</v>
      </c>
      <c r="G96" s="4">
        <v>0</v>
      </c>
      <c r="H96" s="4">
        <v>6.2520590241862841</v>
      </c>
      <c r="I96" s="4">
        <v>0</v>
      </c>
      <c r="J96" s="4">
        <v>0</v>
      </c>
      <c r="K96" s="4">
        <v>0</v>
      </c>
      <c r="L96" s="4">
        <v>0</v>
      </c>
      <c r="M96" s="4">
        <v>33.097019680416743</v>
      </c>
      <c r="N96" s="4">
        <v>0</v>
      </c>
      <c r="O96" s="4">
        <v>0</v>
      </c>
      <c r="P96" s="4">
        <v>0</v>
      </c>
      <c r="Q96" s="4">
        <v>0</v>
      </c>
      <c r="R96" s="4">
        <v>0</v>
      </c>
      <c r="S96" s="4">
        <v>0</v>
      </c>
      <c r="T96" s="4">
        <v>0</v>
      </c>
      <c r="U96" s="4">
        <v>0</v>
      </c>
      <c r="V96" s="4">
        <v>0</v>
      </c>
      <c r="W96" s="4">
        <v>39.349078704603031</v>
      </c>
      <c r="X96" s="4">
        <v>39.349078704603031</v>
      </c>
    </row>
    <row r="97" spans="1:24" hidden="1" x14ac:dyDescent="0.35">
      <c r="A97" s="2" t="s">
        <v>137</v>
      </c>
      <c r="B97" s="2" t="str">
        <f>+VLOOKUP(A97,'HFM Codes'!$B$2:$C$432,2, FALSE)</f>
        <v>Krempfast</v>
      </c>
      <c r="C97" s="2" t="str">
        <f>+VLOOKUP(A97,'HFM Codes'!$B$2:$E$432,4,FALSE)</f>
        <v>Controls</v>
      </c>
      <c r="D97" s="2" t="str">
        <f>+VLOOKUP(A97,'HFM Codes'!$B$2:$D$432,3,FALSE)</f>
        <v>ISG</v>
      </c>
      <c r="E97" s="4">
        <v>0</v>
      </c>
      <c r="F97" s="4">
        <v>0</v>
      </c>
      <c r="G97" s="4">
        <v>0</v>
      </c>
      <c r="H97" s="4">
        <v>1182.8718559542035</v>
      </c>
      <c r="I97" s="4">
        <v>0</v>
      </c>
      <c r="J97" s="4">
        <v>0</v>
      </c>
      <c r="K97" s="4">
        <v>269.82169580563095</v>
      </c>
      <c r="L97" s="4">
        <v>0</v>
      </c>
      <c r="M97" s="4">
        <v>30.295875548711088</v>
      </c>
      <c r="N97" s="4">
        <v>0</v>
      </c>
      <c r="O97" s="4">
        <v>0</v>
      </c>
      <c r="P97" s="4">
        <v>0</v>
      </c>
      <c r="Q97" s="4">
        <v>0</v>
      </c>
      <c r="R97" s="4">
        <v>0</v>
      </c>
      <c r="S97" s="4">
        <v>0.13243490650106887</v>
      </c>
      <c r="T97" s="4">
        <v>0</v>
      </c>
      <c r="U97" s="4">
        <v>0</v>
      </c>
      <c r="V97" s="4">
        <v>0</v>
      </c>
      <c r="W97" s="4">
        <v>1483.1218622150466</v>
      </c>
      <c r="X97" s="4">
        <v>1483.1218622150466</v>
      </c>
    </row>
    <row r="98" spans="1:24" hidden="1" x14ac:dyDescent="0.35">
      <c r="A98" s="2" t="s">
        <v>136</v>
      </c>
      <c r="B98" s="2" t="str">
        <f>+VLOOKUP(A98,'HFM Codes'!$B$2:$C$432,2, FALSE)</f>
        <v>CSF Ltd - Sales Motorsport</v>
      </c>
      <c r="C98" s="2" t="str">
        <f>+VLOOKUP(A98,'HFM Codes'!$B$2:$E$432,4,FALSE)</f>
        <v>Controls</v>
      </c>
      <c r="D98" s="2" t="str">
        <f>+VLOOKUP(A98,'HFM Codes'!$B$2:$D$432,3,FALSE)</f>
        <v>Specialty Fasteners</v>
      </c>
      <c r="E98" s="4">
        <v>0</v>
      </c>
      <c r="F98" s="4">
        <v>0</v>
      </c>
      <c r="G98" s="4">
        <v>0</v>
      </c>
      <c r="H98" s="4">
        <v>11.026681861786063</v>
      </c>
      <c r="I98" s="4">
        <v>0</v>
      </c>
      <c r="J98" s="4">
        <v>0</v>
      </c>
      <c r="K98" s="4">
        <v>0</v>
      </c>
      <c r="L98" s="4">
        <v>0</v>
      </c>
      <c r="M98" s="4">
        <v>18.351565191028353</v>
      </c>
      <c r="N98" s="4">
        <v>0</v>
      </c>
      <c r="O98" s="4">
        <v>0</v>
      </c>
      <c r="P98" s="4">
        <v>0</v>
      </c>
      <c r="Q98" s="4">
        <v>0</v>
      </c>
      <c r="R98" s="4">
        <v>0</v>
      </c>
      <c r="S98" s="4">
        <v>0</v>
      </c>
      <c r="T98" s="4">
        <v>0</v>
      </c>
      <c r="U98" s="4">
        <v>0</v>
      </c>
      <c r="V98" s="4">
        <v>0</v>
      </c>
      <c r="W98" s="4">
        <v>29.378247052814416</v>
      </c>
      <c r="X98" s="4">
        <v>29.378247052814416</v>
      </c>
    </row>
    <row r="99" spans="1:24" hidden="1" x14ac:dyDescent="0.35">
      <c r="A99" s="2" t="s">
        <v>130</v>
      </c>
      <c r="B99" s="2" t="str">
        <f>+VLOOKUP(A99,'HFM Codes'!$B$2:$C$432,2, FALSE)</f>
        <v>CSF Ltd - RWB Operations</v>
      </c>
      <c r="C99" s="2" t="str">
        <f>+VLOOKUP(A99,'HFM Codes'!$B$2:$E$432,4,FALSE)</f>
        <v>Controls</v>
      </c>
      <c r="D99" s="2" t="str">
        <f>+VLOOKUP(A99,'HFM Codes'!$B$2:$D$432,3,FALSE)</f>
        <v>Specialty Fasteners</v>
      </c>
      <c r="E99" s="4">
        <v>0</v>
      </c>
      <c r="F99" s="4">
        <v>0</v>
      </c>
      <c r="G99" s="4">
        <v>0</v>
      </c>
      <c r="H99" s="4">
        <v>19.307441480840932</v>
      </c>
      <c r="I99" s="4">
        <v>0</v>
      </c>
      <c r="J99" s="4">
        <v>0</v>
      </c>
      <c r="K99" s="4">
        <v>0</v>
      </c>
      <c r="L99" s="4">
        <v>0</v>
      </c>
      <c r="M99" s="4">
        <v>17.894337323801768</v>
      </c>
      <c r="N99" s="4">
        <v>0</v>
      </c>
      <c r="O99" s="4">
        <v>1.3793996311922025</v>
      </c>
      <c r="P99" s="4">
        <v>0</v>
      </c>
      <c r="Q99" s="4">
        <v>0</v>
      </c>
      <c r="R99" s="4">
        <v>0</v>
      </c>
      <c r="S99" s="4">
        <v>0</v>
      </c>
      <c r="T99" s="4">
        <v>0</v>
      </c>
      <c r="U99" s="4">
        <v>0</v>
      </c>
      <c r="V99" s="4">
        <v>0</v>
      </c>
      <c r="W99" s="4">
        <v>38.5811784358349</v>
      </c>
      <c r="X99" s="4">
        <v>38.5811784358349</v>
      </c>
    </row>
    <row r="100" spans="1:24" hidden="1" x14ac:dyDescent="0.35">
      <c r="A100" s="2" t="s">
        <v>121</v>
      </c>
      <c r="B100" s="2" t="str">
        <f>+VLOOKUP(A100,'HFM Codes'!$B$2:$C$432,2, FALSE)</f>
        <v>CSF GmbH - Distribution</v>
      </c>
      <c r="C100" s="2" t="str">
        <f>+VLOOKUP(A100,'HFM Codes'!$B$2:$E$432,4,FALSE)</f>
        <v>Controls</v>
      </c>
      <c r="D100" s="2" t="str">
        <f>+VLOOKUP(A100,'HFM Codes'!$B$2:$D$432,3,FALSE)</f>
        <v>Specialty Fasteners</v>
      </c>
      <c r="E100" s="4">
        <v>0</v>
      </c>
      <c r="F100" s="4">
        <v>0</v>
      </c>
      <c r="G100" s="4">
        <v>0</v>
      </c>
      <c r="H100" s="4">
        <v>263.12711719868889</v>
      </c>
      <c r="I100" s="4">
        <v>0</v>
      </c>
      <c r="J100" s="4">
        <v>0</v>
      </c>
      <c r="K100" s="4">
        <v>63.865557090446174</v>
      </c>
      <c r="L100" s="4">
        <v>0</v>
      </c>
      <c r="M100" s="4">
        <v>13.978169631162928</v>
      </c>
      <c r="N100" s="4">
        <v>0</v>
      </c>
      <c r="O100" s="4">
        <v>1.1851916632085444</v>
      </c>
      <c r="P100" s="4">
        <v>0</v>
      </c>
      <c r="Q100" s="4">
        <v>0</v>
      </c>
      <c r="R100" s="4">
        <v>0</v>
      </c>
      <c r="S100" s="4">
        <v>0.14812370741755385</v>
      </c>
      <c r="T100" s="4">
        <v>0</v>
      </c>
      <c r="U100" s="4">
        <v>0</v>
      </c>
      <c r="V100" s="4">
        <v>0</v>
      </c>
      <c r="W100" s="4">
        <v>342.30415929092408</v>
      </c>
      <c r="X100" s="4">
        <v>342.30415929092408</v>
      </c>
    </row>
    <row r="101" spans="1:24" hidden="1" x14ac:dyDescent="0.35">
      <c r="A101" s="2" t="s">
        <v>156</v>
      </c>
      <c r="B101" s="2" t="str">
        <f>+VLOOKUP(A101,'HFM Codes'!$B$2:$C$432,2, FALSE)</f>
        <v>CSF Inc - Mexico</v>
      </c>
      <c r="C101" s="2" t="str">
        <f>+VLOOKUP(A101,'HFM Codes'!$B$2:$E$432,4,FALSE)</f>
        <v>Controls</v>
      </c>
      <c r="D101" s="2" t="str">
        <f>+VLOOKUP(A101,'HFM Codes'!$B$2:$D$432,3,FALSE)</f>
        <v>Specialty Fasteners</v>
      </c>
      <c r="E101" s="4">
        <v>0</v>
      </c>
      <c r="F101" s="4">
        <v>0</v>
      </c>
      <c r="G101" s="4">
        <v>0</v>
      </c>
      <c r="H101" s="4">
        <v>59.571898381908703</v>
      </c>
      <c r="I101" s="4">
        <v>0</v>
      </c>
      <c r="J101" s="4">
        <v>0</v>
      </c>
      <c r="K101" s="4">
        <v>0</v>
      </c>
      <c r="L101" s="4">
        <v>0</v>
      </c>
      <c r="M101" s="4">
        <v>13.028306469517112</v>
      </c>
      <c r="N101" s="4">
        <v>0</v>
      </c>
      <c r="O101" s="4">
        <v>5.4414129905621911</v>
      </c>
      <c r="P101" s="4">
        <v>0</v>
      </c>
      <c r="Q101" s="4">
        <v>0</v>
      </c>
      <c r="R101" s="4">
        <v>0</v>
      </c>
      <c r="S101" s="4">
        <v>0</v>
      </c>
      <c r="T101" s="4">
        <v>0</v>
      </c>
      <c r="U101" s="4">
        <v>0</v>
      </c>
      <c r="V101" s="4">
        <v>0</v>
      </c>
      <c r="W101" s="4">
        <v>78.041617841988</v>
      </c>
      <c r="X101" s="4">
        <v>78.041617841988</v>
      </c>
    </row>
    <row r="102" spans="1:24" hidden="1" x14ac:dyDescent="0.35">
      <c r="A102" s="2" t="s">
        <v>153</v>
      </c>
      <c r="B102" s="2" t="str">
        <f>+VLOOKUP(A102,'HFM Codes'!$B$2:$C$432,2, FALSE)</f>
        <v>CSF Inc - Operations</v>
      </c>
      <c r="C102" s="2" t="str">
        <f>+VLOOKUP(A102,'HFM Codes'!$B$2:$E$432,4,FALSE)</f>
        <v>Controls</v>
      </c>
      <c r="D102" s="2" t="str">
        <f>+VLOOKUP(A102,'HFM Codes'!$B$2:$D$432,3,FALSE)</f>
        <v>Specialty Fasteners</v>
      </c>
      <c r="E102" s="4">
        <v>0</v>
      </c>
      <c r="F102" s="4">
        <v>0</v>
      </c>
      <c r="G102" s="4">
        <v>0</v>
      </c>
      <c r="H102" s="4">
        <v>27.943823864904637</v>
      </c>
      <c r="I102" s="4">
        <v>0</v>
      </c>
      <c r="J102" s="4">
        <v>0</v>
      </c>
      <c r="K102" s="4">
        <v>0</v>
      </c>
      <c r="L102" s="4">
        <v>0</v>
      </c>
      <c r="M102" s="4">
        <v>8.6321819000756967</v>
      </c>
      <c r="N102" s="4">
        <v>0</v>
      </c>
      <c r="O102" s="4">
        <v>0</v>
      </c>
      <c r="P102" s="4">
        <v>0</v>
      </c>
      <c r="Q102" s="4">
        <v>0</v>
      </c>
      <c r="R102" s="4">
        <v>0</v>
      </c>
      <c r="S102" s="4">
        <v>0</v>
      </c>
      <c r="T102" s="4">
        <v>0</v>
      </c>
      <c r="U102" s="4">
        <v>0</v>
      </c>
      <c r="V102" s="4">
        <v>0</v>
      </c>
      <c r="W102" s="4">
        <v>36.576005764980337</v>
      </c>
      <c r="X102" s="4">
        <v>36.576005764980337</v>
      </c>
    </row>
    <row r="103" spans="1:24" hidden="1" x14ac:dyDescent="0.35">
      <c r="A103" s="2" t="s">
        <v>152</v>
      </c>
      <c r="B103" s="2" t="str">
        <f>+VLOOKUP(A103,'HFM Codes'!$B$2:$C$432,2, FALSE)</f>
        <v>CSF Inc - Purchasing</v>
      </c>
      <c r="C103" s="2" t="str">
        <f>+VLOOKUP(A103,'HFM Codes'!$B$2:$E$432,4,FALSE)</f>
        <v>Controls</v>
      </c>
      <c r="D103" s="2" t="str">
        <f>+VLOOKUP(A103,'HFM Codes'!$B$2:$D$432,3,FALSE)</f>
        <v>Specialty Fasteners</v>
      </c>
      <c r="E103" s="4">
        <v>0</v>
      </c>
      <c r="F103" s="4">
        <v>0</v>
      </c>
      <c r="G103" s="4">
        <v>0</v>
      </c>
      <c r="H103" s="4">
        <v>6.8161928121972659</v>
      </c>
      <c r="I103" s="4">
        <v>0</v>
      </c>
      <c r="J103" s="4">
        <v>0</v>
      </c>
      <c r="K103" s="4">
        <v>0</v>
      </c>
      <c r="L103" s="4">
        <v>0</v>
      </c>
      <c r="M103" s="4">
        <v>7.7892868381063414</v>
      </c>
      <c r="N103" s="4">
        <v>0</v>
      </c>
      <c r="O103" s="4">
        <v>0</v>
      </c>
      <c r="P103" s="4">
        <v>0</v>
      </c>
      <c r="Q103" s="4">
        <v>0</v>
      </c>
      <c r="R103" s="4">
        <v>0</v>
      </c>
      <c r="S103" s="4">
        <v>0</v>
      </c>
      <c r="T103" s="4">
        <v>0</v>
      </c>
      <c r="U103" s="4">
        <v>0</v>
      </c>
      <c r="V103" s="4">
        <v>0</v>
      </c>
      <c r="W103" s="4">
        <v>14.605479650303607</v>
      </c>
      <c r="X103" s="4">
        <v>14.605479650303607</v>
      </c>
    </row>
    <row r="104" spans="1:24" hidden="1" x14ac:dyDescent="0.35">
      <c r="A104" s="2" t="s">
        <v>126</v>
      </c>
      <c r="B104" s="2" t="str">
        <f>+VLOOKUP(A104,'HFM Codes'!$B$2:$C$432,2, FALSE)</f>
        <v>Diploma Iberia Holdings</v>
      </c>
      <c r="C104" s="2" t="str">
        <f>+VLOOKUP(A104,'HFM Codes'!$B$2:$E$432,4,FALSE)</f>
        <v>International Seals (excl Disposals)</v>
      </c>
      <c r="D104" s="2" t="str">
        <f>+VLOOKUP(A104,'HFM Codes'!$B$2:$D$432,3,FALSE)</f>
        <v>Dicsa Group</v>
      </c>
      <c r="E104" s="4">
        <v>0</v>
      </c>
      <c r="F104" s="4">
        <v>0</v>
      </c>
      <c r="G104" s="4">
        <v>0</v>
      </c>
      <c r="H104" s="4">
        <v>7.3613003699866839</v>
      </c>
      <c r="I104" s="4">
        <v>0</v>
      </c>
      <c r="J104" s="4">
        <v>0</v>
      </c>
      <c r="K104" s="4">
        <v>0</v>
      </c>
      <c r="L104" s="4">
        <v>0</v>
      </c>
      <c r="M104" s="4">
        <v>6.9350960201699019</v>
      </c>
      <c r="N104" s="4">
        <v>0</v>
      </c>
      <c r="O104" s="4">
        <v>0</v>
      </c>
      <c r="P104" s="4">
        <v>0</v>
      </c>
      <c r="Q104" s="4">
        <v>0</v>
      </c>
      <c r="R104" s="4">
        <v>0</v>
      </c>
      <c r="S104" s="4">
        <v>0</v>
      </c>
      <c r="T104" s="4">
        <v>0</v>
      </c>
      <c r="U104" s="4">
        <v>0</v>
      </c>
      <c r="V104" s="4">
        <v>0</v>
      </c>
      <c r="W104" s="4">
        <v>14.296396390156586</v>
      </c>
      <c r="X104" s="4">
        <v>14.296396390156586</v>
      </c>
    </row>
    <row r="105" spans="1:24" hidden="1" x14ac:dyDescent="0.35">
      <c r="A105" s="2" t="s">
        <v>135</v>
      </c>
      <c r="B105" s="2" t="str">
        <f>+VLOOKUP(A105,'HFM Codes'!$B$2:$C$432,2, FALSE)</f>
        <v>CSF Ltd - Quality</v>
      </c>
      <c r="C105" s="2" t="str">
        <f>+VLOOKUP(A105,'HFM Codes'!$B$2:$E$432,4,FALSE)</f>
        <v>Controls</v>
      </c>
      <c r="D105" s="2" t="str">
        <f>+VLOOKUP(A105,'HFM Codes'!$B$2:$D$432,3,FALSE)</f>
        <v>Specialty Fasteners</v>
      </c>
      <c r="E105" s="4">
        <v>0</v>
      </c>
      <c r="F105" s="4">
        <v>0</v>
      </c>
      <c r="G105" s="4">
        <v>0</v>
      </c>
      <c r="H105" s="4">
        <v>6.1653801201565628</v>
      </c>
      <c r="I105" s="4">
        <v>0</v>
      </c>
      <c r="J105" s="4">
        <v>0</v>
      </c>
      <c r="K105" s="4">
        <v>0</v>
      </c>
      <c r="L105" s="4">
        <v>0</v>
      </c>
      <c r="M105" s="4">
        <v>5.9614621854313921</v>
      </c>
      <c r="N105" s="4">
        <v>0</v>
      </c>
      <c r="O105" s="4">
        <v>0</v>
      </c>
      <c r="P105" s="4">
        <v>0</v>
      </c>
      <c r="Q105" s="4">
        <v>0</v>
      </c>
      <c r="R105" s="4">
        <v>0</v>
      </c>
      <c r="S105" s="4">
        <v>0</v>
      </c>
      <c r="T105" s="4">
        <v>0</v>
      </c>
      <c r="U105" s="4">
        <v>0</v>
      </c>
      <c r="V105" s="4">
        <v>0</v>
      </c>
      <c r="W105" s="4">
        <v>12.126842305587955</v>
      </c>
      <c r="X105" s="4">
        <v>12.126842305587955</v>
      </c>
    </row>
    <row r="106" spans="1:24" hidden="1" x14ac:dyDescent="0.35">
      <c r="A106" s="2" t="s">
        <v>134</v>
      </c>
      <c r="B106" s="2" t="str">
        <f>+VLOOKUP(A106,'HFM Codes'!$B$2:$C$432,2, FALSE)</f>
        <v>CSF Ltd - Engineering</v>
      </c>
      <c r="C106" s="2" t="str">
        <f>+VLOOKUP(A106,'HFM Codes'!$B$2:$E$432,4,FALSE)</f>
        <v>Controls</v>
      </c>
      <c r="D106" s="2" t="str">
        <f>+VLOOKUP(A106,'HFM Codes'!$B$2:$D$432,3,FALSE)</f>
        <v>Specialty Fasteners</v>
      </c>
      <c r="E106" s="4">
        <v>0</v>
      </c>
      <c r="F106" s="4">
        <v>0</v>
      </c>
      <c r="G106" s="4">
        <v>0</v>
      </c>
      <c r="H106" s="4">
        <v>0.9873848840598175</v>
      </c>
      <c r="I106" s="4">
        <v>0</v>
      </c>
      <c r="J106" s="4">
        <v>0</v>
      </c>
      <c r="K106" s="4">
        <v>0</v>
      </c>
      <c r="L106" s="4">
        <v>0</v>
      </c>
      <c r="M106" s="4">
        <v>4.589953240504955</v>
      </c>
      <c r="N106" s="4">
        <v>0</v>
      </c>
      <c r="O106" s="4">
        <v>0</v>
      </c>
      <c r="P106" s="4">
        <v>0</v>
      </c>
      <c r="Q106" s="4">
        <v>0</v>
      </c>
      <c r="R106" s="4">
        <v>0</v>
      </c>
      <c r="S106" s="4">
        <v>0</v>
      </c>
      <c r="T106" s="4">
        <v>0</v>
      </c>
      <c r="U106" s="4">
        <v>0</v>
      </c>
      <c r="V106" s="4">
        <v>0</v>
      </c>
      <c r="W106" s="4">
        <v>5.5773381245647728</v>
      </c>
      <c r="X106" s="4">
        <v>5.5773381245647728</v>
      </c>
    </row>
    <row r="107" spans="1:24" hidden="1" x14ac:dyDescent="0.35">
      <c r="A107" s="2" t="s">
        <v>133</v>
      </c>
      <c r="B107" s="2" t="str">
        <f>+VLOOKUP(A107,'HFM Codes'!$B$2:$C$432,2, FALSE)</f>
        <v>CSF Ltd - Purchasing</v>
      </c>
      <c r="C107" s="2" t="str">
        <f>+VLOOKUP(A107,'HFM Codes'!$B$2:$E$432,4,FALSE)</f>
        <v>Controls</v>
      </c>
      <c r="D107" s="2" t="str">
        <f>+VLOOKUP(A107,'HFM Codes'!$B$2:$D$432,3,FALSE)</f>
        <v>Specialty Fasteners</v>
      </c>
      <c r="E107" s="4">
        <v>0</v>
      </c>
      <c r="F107" s="4">
        <v>0</v>
      </c>
      <c r="G107" s="4">
        <v>0</v>
      </c>
      <c r="H107" s="4">
        <v>5.5354051131902349</v>
      </c>
      <c r="I107" s="4">
        <v>0</v>
      </c>
      <c r="J107" s="4">
        <v>0</v>
      </c>
      <c r="K107" s="4">
        <v>0</v>
      </c>
      <c r="L107" s="4">
        <v>0</v>
      </c>
      <c r="M107" s="4">
        <v>3.723780627447971</v>
      </c>
      <c r="N107" s="4">
        <v>0</v>
      </c>
      <c r="O107" s="4">
        <v>0</v>
      </c>
      <c r="P107" s="4">
        <v>0</v>
      </c>
      <c r="Q107" s="4">
        <v>0</v>
      </c>
      <c r="R107" s="4">
        <v>0</v>
      </c>
      <c r="S107" s="4">
        <v>0</v>
      </c>
      <c r="T107" s="4">
        <v>0</v>
      </c>
      <c r="U107" s="4">
        <v>0</v>
      </c>
      <c r="V107" s="4">
        <v>0</v>
      </c>
      <c r="W107" s="4">
        <v>9.2591857406382054</v>
      </c>
      <c r="X107" s="4">
        <v>9.2591857406382054</v>
      </c>
    </row>
    <row r="108" spans="1:24" hidden="1" x14ac:dyDescent="0.35">
      <c r="A108" s="2" t="s">
        <v>158</v>
      </c>
      <c r="B108" s="2" t="str">
        <f>+VLOOKUP(A108,'HFM Codes'!$B$2:$C$432,2, FALSE)</f>
        <v>CSF Inc - North Carolina</v>
      </c>
      <c r="C108" s="2" t="str">
        <f>+VLOOKUP(A108,'HFM Codes'!$B$2:$E$432,4,FALSE)</f>
        <v>Controls</v>
      </c>
      <c r="D108" s="2" t="str">
        <f>+VLOOKUP(A108,'HFM Codes'!$B$2:$D$432,3,FALSE)</f>
        <v>Specialty Fasteners</v>
      </c>
      <c r="E108" s="4">
        <v>0</v>
      </c>
      <c r="F108" s="4">
        <v>0</v>
      </c>
      <c r="G108" s="4">
        <v>0</v>
      </c>
      <c r="H108" s="4">
        <v>3.0586100717873044</v>
      </c>
      <c r="I108" s="4">
        <v>0</v>
      </c>
      <c r="J108" s="4">
        <v>0</v>
      </c>
      <c r="K108" s="4">
        <v>0</v>
      </c>
      <c r="L108" s="4">
        <v>0</v>
      </c>
      <c r="M108" s="4">
        <v>3.1850549671151418</v>
      </c>
      <c r="N108" s="4">
        <v>0</v>
      </c>
      <c r="O108" s="4">
        <v>0</v>
      </c>
      <c r="P108" s="4">
        <v>0</v>
      </c>
      <c r="Q108" s="4">
        <v>0</v>
      </c>
      <c r="R108" s="4">
        <v>0</v>
      </c>
      <c r="S108" s="4">
        <v>0</v>
      </c>
      <c r="T108" s="4">
        <v>0</v>
      </c>
      <c r="U108" s="4">
        <v>0</v>
      </c>
      <c r="V108" s="4">
        <v>0</v>
      </c>
      <c r="W108" s="4">
        <v>6.2436650389024457</v>
      </c>
      <c r="X108" s="4">
        <v>6.2436650389024457</v>
      </c>
    </row>
    <row r="109" spans="1:24" hidden="1" x14ac:dyDescent="0.35">
      <c r="A109" s="2" t="s">
        <v>157</v>
      </c>
      <c r="B109" s="2" t="str">
        <f>+VLOOKUP(A109,'HFM Codes'!$B$2:$C$432,2, FALSE)</f>
        <v>CSF Inc - Gainesville</v>
      </c>
      <c r="C109" s="2" t="str">
        <f>+VLOOKUP(A109,'HFM Codes'!$B$2:$E$432,4,FALSE)</f>
        <v>Controls</v>
      </c>
      <c r="D109" s="2" t="str">
        <f>+VLOOKUP(A109,'HFM Codes'!$B$2:$D$432,3,FALSE)</f>
        <v>Specialty Fasteners</v>
      </c>
      <c r="E109" s="4">
        <v>0</v>
      </c>
      <c r="F109" s="4">
        <v>0</v>
      </c>
      <c r="G109" s="4">
        <v>0</v>
      </c>
      <c r="H109" s="4">
        <v>11.074175603378542</v>
      </c>
      <c r="I109" s="4">
        <v>0</v>
      </c>
      <c r="J109" s="4">
        <v>0</v>
      </c>
      <c r="K109" s="4">
        <v>0</v>
      </c>
      <c r="L109" s="4">
        <v>0</v>
      </c>
      <c r="M109" s="4">
        <v>1.9304315047424363</v>
      </c>
      <c r="N109" s="4">
        <v>0</v>
      </c>
      <c r="O109" s="4">
        <v>3.0858681433563193</v>
      </c>
      <c r="P109" s="4">
        <v>0</v>
      </c>
      <c r="Q109" s="4">
        <v>0</v>
      </c>
      <c r="R109" s="4">
        <v>0</v>
      </c>
      <c r="S109" s="4">
        <v>0</v>
      </c>
      <c r="T109" s="4">
        <v>0</v>
      </c>
      <c r="U109" s="4">
        <v>0</v>
      </c>
      <c r="V109" s="4">
        <v>0</v>
      </c>
      <c r="W109" s="4">
        <v>16.090475251477297</v>
      </c>
      <c r="X109" s="4">
        <v>16.090475251477297</v>
      </c>
    </row>
    <row r="110" spans="1:24" hidden="1" x14ac:dyDescent="0.35">
      <c r="A110" s="2" t="s">
        <v>110</v>
      </c>
      <c r="B110" s="2" t="str">
        <f>+VLOOKUP(A110,'HFM Codes'!$B$2:$C$432,2, FALSE)</f>
        <v>M Seals - China</v>
      </c>
      <c r="C110" s="2" t="str">
        <f>+VLOOKUP(A110,'HFM Codes'!$B$2:$E$432,4,FALSE)</f>
        <v>International Seals (excl Disposals)</v>
      </c>
      <c r="D110" s="2" t="str">
        <f>+VLOOKUP(A110,'HFM Codes'!$B$2:$D$432,3,FALSE)</f>
        <v>M Seals Europe</v>
      </c>
      <c r="E110" s="4">
        <v>0</v>
      </c>
      <c r="F110" s="4">
        <v>0</v>
      </c>
      <c r="G110" s="4">
        <v>0</v>
      </c>
      <c r="H110" s="4">
        <v>26.97306599532909</v>
      </c>
      <c r="I110" s="4">
        <v>0</v>
      </c>
      <c r="J110" s="4">
        <v>0</v>
      </c>
      <c r="K110" s="4">
        <v>1.805548382981031</v>
      </c>
      <c r="L110" s="4">
        <v>0</v>
      </c>
      <c r="M110" s="4">
        <v>1.2075905816243073</v>
      </c>
      <c r="N110" s="4">
        <v>0</v>
      </c>
      <c r="O110" s="4">
        <v>1.854960682206598</v>
      </c>
      <c r="P110" s="4">
        <v>0</v>
      </c>
      <c r="Q110" s="4">
        <v>0</v>
      </c>
      <c r="R110" s="4">
        <v>0</v>
      </c>
      <c r="S110" s="4">
        <v>4.4876826290243636E-3</v>
      </c>
      <c r="T110" s="4">
        <v>0</v>
      </c>
      <c r="U110" s="4">
        <v>0</v>
      </c>
      <c r="V110" s="4">
        <v>0</v>
      </c>
      <c r="W110" s="4">
        <v>31.845653324770048</v>
      </c>
      <c r="X110" s="4">
        <v>31.845653324770048</v>
      </c>
    </row>
    <row r="111" spans="1:24" hidden="1" x14ac:dyDescent="0.35">
      <c r="A111" s="2" t="s">
        <v>154</v>
      </c>
      <c r="B111" s="2" t="str">
        <f>+VLOOKUP(A111,'HFM Codes'!$B$2:$C$432,2, FALSE)</f>
        <v>CSF Inc - Quality</v>
      </c>
      <c r="C111" s="2" t="str">
        <f>+VLOOKUP(A111,'HFM Codes'!$B$2:$E$432,4,FALSE)</f>
        <v>Controls</v>
      </c>
      <c r="D111" s="2" t="str">
        <f>+VLOOKUP(A111,'HFM Codes'!$B$2:$D$432,3,FALSE)</f>
        <v>Specialty Fasteners</v>
      </c>
      <c r="E111" s="4">
        <v>0</v>
      </c>
      <c r="F111" s="4">
        <v>0</v>
      </c>
      <c r="G111" s="4">
        <v>0</v>
      </c>
      <c r="H111" s="4">
        <v>5.7423369311439378</v>
      </c>
      <c r="I111" s="4">
        <v>0</v>
      </c>
      <c r="J111" s="4">
        <v>0</v>
      </c>
      <c r="K111" s="4">
        <v>0</v>
      </c>
      <c r="L111" s="4">
        <v>0</v>
      </c>
      <c r="M111" s="4">
        <v>0.93722185014271253</v>
      </c>
      <c r="N111" s="4">
        <v>0</v>
      </c>
      <c r="O111" s="4">
        <v>0</v>
      </c>
      <c r="P111" s="4">
        <v>0</v>
      </c>
      <c r="Q111" s="4">
        <v>0</v>
      </c>
      <c r="R111" s="4">
        <v>0</v>
      </c>
      <c r="S111" s="4">
        <v>0</v>
      </c>
      <c r="T111" s="4">
        <v>0</v>
      </c>
      <c r="U111" s="4">
        <v>0</v>
      </c>
      <c r="V111" s="4">
        <v>0</v>
      </c>
      <c r="W111" s="4">
        <v>6.6795587812866506</v>
      </c>
      <c r="X111" s="4">
        <v>6.6795587812866506</v>
      </c>
    </row>
    <row r="112" spans="1:24" hidden="1" x14ac:dyDescent="0.35">
      <c r="A112" s="2" t="s">
        <v>129</v>
      </c>
      <c r="B112" s="2" t="str">
        <f>+VLOOKUP(A112,'HFM Codes'!$B$2:$C$432,2, FALSE)</f>
        <v>CSF Ltd - Totnes</v>
      </c>
      <c r="C112" s="2" t="str">
        <f>+VLOOKUP(A112,'HFM Codes'!$B$2:$E$432,4,FALSE)</f>
        <v>Controls</v>
      </c>
      <c r="D112" s="2" t="str">
        <f>+VLOOKUP(A112,'HFM Codes'!$B$2:$D$432,3,FALSE)</f>
        <v>Specialty Fasteners</v>
      </c>
      <c r="E112" s="4">
        <v>0</v>
      </c>
      <c r="F112" s="4">
        <v>0</v>
      </c>
      <c r="G112" s="4">
        <v>0</v>
      </c>
      <c r="H112" s="4">
        <v>-36.361796709876074</v>
      </c>
      <c r="I112" s="4">
        <v>0</v>
      </c>
      <c r="J112" s="4">
        <v>0</v>
      </c>
      <c r="K112" s="4">
        <v>6.4975291194686342</v>
      </c>
      <c r="L112" s="4">
        <v>0</v>
      </c>
      <c r="M112" s="4">
        <v>0.84516468737252315</v>
      </c>
      <c r="N112" s="4">
        <v>0</v>
      </c>
      <c r="O112" s="4">
        <v>6.413577871497802</v>
      </c>
      <c r="P112" s="4">
        <v>0</v>
      </c>
      <c r="Q112" s="4">
        <v>0</v>
      </c>
      <c r="R112" s="4">
        <v>0</v>
      </c>
      <c r="S112" s="4">
        <v>0</v>
      </c>
      <c r="T112" s="4">
        <v>0</v>
      </c>
      <c r="U112" s="4">
        <v>0</v>
      </c>
      <c r="V112" s="4">
        <v>0</v>
      </c>
      <c r="W112" s="4">
        <v>-22.605525031537113</v>
      </c>
      <c r="X112" s="4">
        <v>-22.605525031537113</v>
      </c>
    </row>
    <row r="113" spans="1:24" hidden="1" x14ac:dyDescent="0.35">
      <c r="A113" s="2" t="s">
        <v>78</v>
      </c>
      <c r="B113" s="2" t="str">
        <f>+VLOOKUP(A113,'HFM Codes'!$B$2:$C$432,2, FALSE)</f>
        <v>Pearson Hose &amp; Hydraulics</v>
      </c>
      <c r="C113" s="2" t="str">
        <f>+VLOOKUP(A113,'HFM Codes'!$B$2:$E$432,4,FALSE)</f>
        <v>International Seals (excl Disposals)</v>
      </c>
      <c r="D113" s="2" t="str">
        <f>+VLOOKUP(A113,'HFM Codes'!$B$2:$D$432,3,FALSE)</f>
        <v>R&amp;G Hydraulics</v>
      </c>
      <c r="E113" s="4">
        <v>9.18173466</v>
      </c>
      <c r="F113" s="4">
        <v>0</v>
      </c>
      <c r="G113" s="4">
        <v>0</v>
      </c>
      <c r="H113" s="4">
        <v>-5.8718257850795763E-2</v>
      </c>
      <c r="I113" s="4">
        <v>0</v>
      </c>
      <c r="J113" s="4">
        <v>2.2326305400000002</v>
      </c>
      <c r="K113" s="4">
        <v>0</v>
      </c>
      <c r="L113" s="4">
        <v>0</v>
      </c>
      <c r="M113" s="4">
        <v>0.75516878033712609</v>
      </c>
      <c r="N113" s="4">
        <v>0</v>
      </c>
      <c r="O113" s="4">
        <v>0</v>
      </c>
      <c r="P113" s="4">
        <v>0</v>
      </c>
      <c r="Q113" s="4">
        <v>0</v>
      </c>
      <c r="R113" s="4">
        <v>0</v>
      </c>
      <c r="S113" s="4">
        <v>0</v>
      </c>
      <c r="T113" s="4">
        <v>0</v>
      </c>
      <c r="U113" s="4">
        <v>0</v>
      </c>
      <c r="V113" s="4">
        <v>0</v>
      </c>
      <c r="W113" s="4">
        <v>12.110815722486331</v>
      </c>
      <c r="X113" s="4">
        <v>12.110815722486331</v>
      </c>
    </row>
    <row r="114" spans="1:24" x14ac:dyDescent="0.35">
      <c r="A114" s="2" t="s">
        <v>100</v>
      </c>
      <c r="B114" s="2" t="str">
        <f>+VLOOKUP(A114,'HFM Codes'!$B$2:$C$432,2, FALSE)</f>
        <v>ACT</v>
      </c>
      <c r="C114" s="2" t="str">
        <f>+VLOOKUP(A114,'HFM Codes'!$B$2:$E$432,4,FALSE)</f>
        <v>International Seals (excl Disposals)</v>
      </c>
      <c r="D114" s="2" t="str">
        <f>+VLOOKUP(A114,'HFM Codes'!$B$2:$D$432,3,FALSE)</f>
        <v>Diploma Australia Seals</v>
      </c>
      <c r="E114" s="4">
        <v>0</v>
      </c>
      <c r="F114" s="4">
        <v>8.4664029600000017</v>
      </c>
      <c r="G114" s="4">
        <v>8.4664029600000017</v>
      </c>
      <c r="H114" s="4">
        <v>29.53887674303899</v>
      </c>
      <c r="I114" s="4">
        <v>-10.655505660199124</v>
      </c>
      <c r="J114" s="4">
        <v>2.0614102627091118</v>
      </c>
      <c r="K114" s="4">
        <v>-1.3125123634455491</v>
      </c>
      <c r="L114" s="4">
        <v>0</v>
      </c>
      <c r="M114" s="4">
        <v>0.66492137377320892</v>
      </c>
      <c r="N114" s="4">
        <v>0</v>
      </c>
      <c r="O114" s="4">
        <v>3.1014447597664008</v>
      </c>
      <c r="P114" s="4">
        <v>0</v>
      </c>
      <c r="Q114" s="4">
        <v>0</v>
      </c>
      <c r="R114" s="4">
        <v>0</v>
      </c>
      <c r="S114" s="4">
        <v>2.2755932121273015E-2</v>
      </c>
      <c r="T114" s="4">
        <v>0</v>
      </c>
      <c r="U114" s="4">
        <v>0</v>
      </c>
      <c r="V114" s="4">
        <v>0</v>
      </c>
      <c r="W114" s="4">
        <v>31.887794007764313</v>
      </c>
      <c r="X114" s="4">
        <v>31.887794007764313</v>
      </c>
    </row>
    <row r="115" spans="1:24" hidden="1" x14ac:dyDescent="0.35">
      <c r="A115" s="2" t="s">
        <v>74</v>
      </c>
      <c r="B115" s="2" t="str">
        <f>+VLOOKUP(A115,'HFM Codes'!$B$2:$C$432,2, FALSE)</f>
        <v>BGS AUS</v>
      </c>
      <c r="C115" s="2" t="str">
        <f>+VLOOKUP(A115,'HFM Codes'!$B$2:$E$432,4,FALSE)</f>
        <v>Life Sciences</v>
      </c>
      <c r="D115" s="2" t="str">
        <f>+VLOOKUP(A115,'HFM Codes'!$B$2:$D$432,3,FALSE)</f>
        <v>Life Sciences Australasia</v>
      </c>
      <c r="E115" s="4">
        <v>0</v>
      </c>
      <c r="F115" s="4">
        <v>0</v>
      </c>
      <c r="G115" s="4">
        <v>0</v>
      </c>
      <c r="H115" s="4">
        <v>2010.368511797963</v>
      </c>
      <c r="I115" s="4">
        <v>0</v>
      </c>
      <c r="J115" s="4">
        <v>0</v>
      </c>
      <c r="K115" s="4">
        <v>-40.501053720768361</v>
      </c>
      <c r="L115" s="4">
        <v>0</v>
      </c>
      <c r="M115" s="4">
        <v>0.31218678373490144</v>
      </c>
      <c r="N115" s="4">
        <v>0</v>
      </c>
      <c r="O115" s="4">
        <v>0</v>
      </c>
      <c r="P115" s="4">
        <v>0</v>
      </c>
      <c r="Q115" s="4">
        <v>0</v>
      </c>
      <c r="R115" s="4">
        <v>0</v>
      </c>
      <c r="S115" s="4">
        <v>0.13351087383689678</v>
      </c>
      <c r="T115" s="4">
        <v>0</v>
      </c>
      <c r="U115" s="4">
        <v>0</v>
      </c>
      <c r="V115" s="4">
        <v>0</v>
      </c>
      <c r="W115" s="4">
        <v>1970.3131557347665</v>
      </c>
      <c r="X115" s="4">
        <v>1970.3131557347665</v>
      </c>
    </row>
    <row r="116" spans="1:24" hidden="1" x14ac:dyDescent="0.35">
      <c r="A116" s="2" t="s">
        <v>10</v>
      </c>
      <c r="B116" s="2" t="str">
        <f>+VLOOKUP(A116,'HFM Codes'!$B$2:$C$432,2, FALSE)</f>
        <v>GM Medical Norway</v>
      </c>
      <c r="C116" s="2" t="str">
        <f>+VLOOKUP(A116,'HFM Codes'!$B$2:$E$432,4,FALSE)</f>
        <v>Life Sciences</v>
      </c>
      <c r="D116" s="2" t="str">
        <f>+VLOOKUP(A116,'HFM Codes'!$B$2:$D$432,3,FALSE)</f>
        <v>Life Sciences Nordics</v>
      </c>
      <c r="E116" s="4">
        <v>0</v>
      </c>
      <c r="F116" s="4">
        <v>2.4047923214662226</v>
      </c>
      <c r="G116" s="4">
        <v>2.8121100000000003E-2</v>
      </c>
      <c r="H116" s="4">
        <v>85.289998393817399</v>
      </c>
      <c r="I116" s="4">
        <v>0</v>
      </c>
      <c r="J116" s="4">
        <v>5.077762110961016E-3</v>
      </c>
      <c r="K116" s="4">
        <v>1.1389486794023103</v>
      </c>
      <c r="L116" s="4">
        <v>0</v>
      </c>
      <c r="M116" s="4">
        <v>0.16375331372833571</v>
      </c>
      <c r="N116" s="4">
        <v>0</v>
      </c>
      <c r="O116" s="4">
        <v>0</v>
      </c>
      <c r="P116" s="4">
        <v>0</v>
      </c>
      <c r="Q116" s="4">
        <v>0</v>
      </c>
      <c r="R116" s="4">
        <v>0</v>
      </c>
      <c r="S116" s="4">
        <v>1.9252164445626931E-3</v>
      </c>
      <c r="T116" s="4">
        <v>0</v>
      </c>
      <c r="U116" s="4">
        <v>0</v>
      </c>
      <c r="V116" s="4">
        <v>0</v>
      </c>
      <c r="W116" s="4">
        <v>86.627824465503565</v>
      </c>
      <c r="X116" s="4">
        <v>89.004495686969776</v>
      </c>
    </row>
    <row r="117" spans="1:24" hidden="1" x14ac:dyDescent="0.35">
      <c r="A117" s="2" t="s">
        <v>118</v>
      </c>
      <c r="B117" s="2" t="str">
        <f>+VLOOKUP(A117,'HFM Codes'!$B$2:$C$432,2, FALSE)</f>
        <v>Peerless Aerospace China</v>
      </c>
      <c r="C117" s="2" t="str">
        <f>+VLOOKUP(A117,'HFM Codes'!$B$2:$E$432,4,FALSE)</f>
        <v>Controls</v>
      </c>
      <c r="D117" s="2" t="str">
        <f>+VLOOKUP(A117,'HFM Codes'!$B$2:$D$432,3,FALSE)</f>
        <v>Peerless Aerospace Group</v>
      </c>
      <c r="E117" s="4">
        <v>0</v>
      </c>
      <c r="F117" s="4">
        <v>0</v>
      </c>
      <c r="G117" s="4">
        <v>0</v>
      </c>
      <c r="H117" s="4">
        <v>0.16646869131073744</v>
      </c>
      <c r="I117" s="4">
        <v>0</v>
      </c>
      <c r="J117" s="4">
        <v>0</v>
      </c>
      <c r="K117" s="4">
        <v>0</v>
      </c>
      <c r="L117" s="4">
        <v>0</v>
      </c>
      <c r="M117" s="4">
        <v>0.13659834471006022</v>
      </c>
      <c r="N117" s="4">
        <v>0</v>
      </c>
      <c r="O117" s="4">
        <v>1.3994075596132969</v>
      </c>
      <c r="P117" s="4">
        <v>0</v>
      </c>
      <c r="Q117" s="4">
        <v>0</v>
      </c>
      <c r="R117" s="4">
        <v>0</v>
      </c>
      <c r="S117" s="4">
        <v>0</v>
      </c>
      <c r="T117" s="4">
        <v>0</v>
      </c>
      <c r="U117" s="4">
        <v>0</v>
      </c>
      <c r="V117" s="4">
        <v>0</v>
      </c>
      <c r="W117" s="4">
        <v>1.7024745956340945</v>
      </c>
      <c r="X117" s="4">
        <v>1.7024745956340945</v>
      </c>
    </row>
    <row r="118" spans="1:24" x14ac:dyDescent="0.35">
      <c r="A118" s="2" t="s">
        <v>102</v>
      </c>
      <c r="B118" s="2" t="str">
        <f>+VLOOKUP(A118,'HFM Codes'!$B$2:$C$432,2, FALSE)</f>
        <v>TotalSeal (East)</v>
      </c>
      <c r="C118" s="2" t="str">
        <f>+VLOOKUP(A118,'HFM Codes'!$B$2:$E$432,4,FALSE)</f>
        <v>International Seals (excl Disposals)</v>
      </c>
      <c r="D118" s="2" t="str">
        <f>+VLOOKUP(A118,'HFM Codes'!$B$2:$D$432,3,FALSE)</f>
        <v>Diploma Australia Seals</v>
      </c>
      <c r="E118" s="4">
        <v>0</v>
      </c>
      <c r="F118" s="4">
        <v>0</v>
      </c>
      <c r="G118" s="4">
        <v>0</v>
      </c>
      <c r="H118" s="4">
        <v>15.433206148118559</v>
      </c>
      <c r="I118" s="4">
        <v>0</v>
      </c>
      <c r="J118" s="4">
        <v>0</v>
      </c>
      <c r="K118" s="4">
        <v>9.6040126699959941E-2</v>
      </c>
      <c r="L118" s="4">
        <v>0</v>
      </c>
      <c r="M118" s="4">
        <v>2.8441781326018836E-3</v>
      </c>
      <c r="N118" s="4">
        <v>0</v>
      </c>
      <c r="O118" s="4">
        <v>0</v>
      </c>
      <c r="P118" s="4">
        <v>0</v>
      </c>
      <c r="Q118" s="4">
        <v>0</v>
      </c>
      <c r="R118" s="4">
        <v>0</v>
      </c>
      <c r="S118" s="4">
        <v>0</v>
      </c>
      <c r="T118" s="4">
        <v>0</v>
      </c>
      <c r="U118" s="4">
        <v>0</v>
      </c>
      <c r="V118" s="4">
        <v>0</v>
      </c>
      <c r="W118" s="4">
        <v>15.53209045295112</v>
      </c>
      <c r="X118" s="4">
        <v>15.53209045295112</v>
      </c>
    </row>
    <row r="119" spans="1:24" hidden="1" x14ac:dyDescent="0.35">
      <c r="A119" s="2" t="s">
        <v>41</v>
      </c>
      <c r="B119" s="2" t="str">
        <f>+VLOOKUP(A119,'HFM Codes'!$B$2:$C$432,2, FALSE)</f>
        <v>Cablecraft</v>
      </c>
      <c r="C119" s="2" t="str">
        <f>+VLOOKUP(A119,'HFM Codes'!$B$2:$E$432,4,FALSE)</f>
        <v>Controls</v>
      </c>
      <c r="D119" s="2" t="str">
        <f>+VLOOKUP(A119,'HFM Codes'!$B$2:$D$432,3,FALSE)</f>
        <v>Shoal group</v>
      </c>
      <c r="E119" s="4">
        <v>10.844278999</v>
      </c>
      <c r="F119" s="4">
        <v>73.29949378281998</v>
      </c>
      <c r="G119" s="4">
        <v>96.347301175000013</v>
      </c>
      <c r="H119" s="4">
        <v>1012.363124881907</v>
      </c>
      <c r="I119" s="4">
        <v>0</v>
      </c>
      <c r="J119" s="4">
        <v>34.37226351970962</v>
      </c>
      <c r="K119" s="4">
        <v>1020.5954128975739</v>
      </c>
      <c r="L119" s="4">
        <v>14.567852071820001</v>
      </c>
      <c r="M119" s="4">
        <v>0</v>
      </c>
      <c r="N119" s="4">
        <v>0</v>
      </c>
      <c r="O119" s="4">
        <v>0</v>
      </c>
      <c r="P119" s="4">
        <v>0</v>
      </c>
      <c r="Q119" s="4">
        <v>0</v>
      </c>
      <c r="R119" s="4">
        <v>0</v>
      </c>
      <c r="S119" s="4">
        <v>1.8509529148513291</v>
      </c>
      <c r="T119" s="4">
        <v>0</v>
      </c>
      <c r="U119" s="4">
        <v>0</v>
      </c>
      <c r="V119" s="4">
        <v>0</v>
      </c>
      <c r="W119" s="4">
        <v>2190.9411864598619</v>
      </c>
      <c r="X119" s="4">
        <v>2167.8933790676815</v>
      </c>
    </row>
    <row r="120" spans="1:24" hidden="1" x14ac:dyDescent="0.35">
      <c r="A120" s="2" t="s">
        <v>44</v>
      </c>
      <c r="B120" s="2" t="str">
        <f>+VLOOKUP(A120,'HFM Codes'!$B$2:$C$432,2, FALSE)</f>
        <v>SWA</v>
      </c>
      <c r="C120" s="2" t="str">
        <f>+VLOOKUP(A120,'HFM Codes'!$B$2:$E$432,4,FALSE)</f>
        <v>Controls</v>
      </c>
      <c r="D120" s="2" t="str">
        <f>+VLOOKUP(A120,'HFM Codes'!$B$2:$D$432,3,FALSE)</f>
        <v>Shoal group</v>
      </c>
      <c r="E120" s="4">
        <v>10.030795350000002</v>
      </c>
      <c r="F120" s="4">
        <v>33.988108290098417</v>
      </c>
      <c r="G120" s="4">
        <v>18.118324350000005</v>
      </c>
      <c r="H120" s="4">
        <v>905.15700970454225</v>
      </c>
      <c r="I120" s="4">
        <v>0</v>
      </c>
      <c r="J120" s="4">
        <v>8.4246453850662899</v>
      </c>
      <c r="K120" s="4">
        <v>504.43269154924235</v>
      </c>
      <c r="L120" s="4">
        <v>2.3900161339800006</v>
      </c>
      <c r="M120" s="4">
        <v>0</v>
      </c>
      <c r="N120" s="4">
        <v>0</v>
      </c>
      <c r="O120" s="4">
        <v>0</v>
      </c>
      <c r="P120" s="4">
        <v>0</v>
      </c>
      <c r="Q120" s="4">
        <v>0</v>
      </c>
      <c r="R120" s="4">
        <v>0</v>
      </c>
      <c r="S120" s="4">
        <v>0.56838970731470706</v>
      </c>
      <c r="T120" s="4">
        <v>0</v>
      </c>
      <c r="U120" s="4">
        <v>0</v>
      </c>
      <c r="V120" s="4">
        <v>0</v>
      </c>
      <c r="W120" s="4">
        <v>1449.1218721801456</v>
      </c>
      <c r="X120" s="4">
        <v>1464.991656120244</v>
      </c>
    </row>
    <row r="121" spans="1:24" hidden="1" x14ac:dyDescent="0.35">
      <c r="A121" s="2" t="s">
        <v>19</v>
      </c>
      <c r="B121" s="2" t="str">
        <f>+VLOOKUP(A121,'HFM Codes'!$B$2:$C$432,2, FALSE)</f>
        <v>Dicsa America LLC</v>
      </c>
      <c r="C121" s="2" t="str">
        <f>+VLOOKUP(A121,'HFM Codes'!$B$2:$E$432,4,FALSE)</f>
        <v>International Seals (excl Disposals)</v>
      </c>
      <c r="D121" s="2" t="str">
        <f>+VLOOKUP(A121,'HFM Codes'!$B$2:$D$432,3,FALSE)</f>
        <v>Dicsa Group</v>
      </c>
      <c r="E121" s="4">
        <v>0</v>
      </c>
      <c r="F121" s="4">
        <v>0</v>
      </c>
      <c r="G121" s="4">
        <v>0</v>
      </c>
      <c r="H121" s="4">
        <v>184.04520305114454</v>
      </c>
      <c r="I121" s="4">
        <v>0</v>
      </c>
      <c r="J121" s="4">
        <v>0</v>
      </c>
      <c r="K121" s="4">
        <v>173.29455758630658</v>
      </c>
      <c r="L121" s="4">
        <v>0</v>
      </c>
      <c r="M121" s="4">
        <v>0</v>
      </c>
      <c r="N121" s="4">
        <v>0</v>
      </c>
      <c r="O121" s="4">
        <v>0</v>
      </c>
      <c r="P121" s="4">
        <v>0</v>
      </c>
      <c r="Q121" s="4">
        <v>0</v>
      </c>
      <c r="R121" s="4">
        <v>0</v>
      </c>
      <c r="S121" s="4">
        <v>5.1337395828901559E-2</v>
      </c>
      <c r="T121" s="4">
        <v>0</v>
      </c>
      <c r="U121" s="4">
        <v>0</v>
      </c>
      <c r="V121" s="4">
        <v>0</v>
      </c>
      <c r="W121" s="4">
        <v>357.39109803328006</v>
      </c>
      <c r="X121" s="4">
        <v>357.39109803328006</v>
      </c>
    </row>
    <row r="122" spans="1:24" hidden="1" x14ac:dyDescent="0.35">
      <c r="A122" s="2" t="s">
        <v>155</v>
      </c>
      <c r="B122" s="2" t="str">
        <f>+VLOOKUP(A122,'HFM Codes'!$B$2:$C$432,2, FALSE)</f>
        <v>CSF Inc - Placard</v>
      </c>
      <c r="C122" s="2" t="str">
        <f>+VLOOKUP(A122,'HFM Codes'!$B$2:$E$432,4,FALSE)</f>
        <v>Controls</v>
      </c>
      <c r="D122" s="2" t="str">
        <f>+VLOOKUP(A122,'HFM Codes'!$B$2:$D$432,3,FALSE)</f>
        <v>Specialty Fasteners</v>
      </c>
      <c r="E122" s="4">
        <v>0</v>
      </c>
      <c r="F122" s="4">
        <v>0</v>
      </c>
      <c r="G122" s="4">
        <v>0</v>
      </c>
      <c r="H122" s="4">
        <v>15.348146011225522</v>
      </c>
      <c r="I122" s="4">
        <v>0</v>
      </c>
      <c r="J122" s="4">
        <v>0</v>
      </c>
      <c r="K122" s="4">
        <v>8.7841032810522579E-2</v>
      </c>
      <c r="L122" s="4">
        <v>0</v>
      </c>
      <c r="M122" s="4">
        <v>0</v>
      </c>
      <c r="N122" s="4">
        <v>0</v>
      </c>
      <c r="O122" s="4">
        <v>6.9525544381376312</v>
      </c>
      <c r="P122" s="4">
        <v>0</v>
      </c>
      <c r="Q122" s="4">
        <v>0</v>
      </c>
      <c r="R122" s="4">
        <v>0</v>
      </c>
      <c r="S122" s="4">
        <v>2.0375353764931888E-4</v>
      </c>
      <c r="T122" s="4">
        <v>0</v>
      </c>
      <c r="U122" s="4">
        <v>0</v>
      </c>
      <c r="V122" s="4">
        <v>0</v>
      </c>
      <c r="W122" s="4">
        <v>22.388745235711326</v>
      </c>
      <c r="X122" s="4">
        <v>22.388745235711326</v>
      </c>
    </row>
    <row r="123" spans="1:24" hidden="1" x14ac:dyDescent="0.35">
      <c r="A123" s="2" t="s">
        <v>138</v>
      </c>
      <c r="B123" s="2" t="str">
        <f>+VLOOKUP(A123,'HFM Codes'!$B$2:$C$432,2, FALSE)</f>
        <v>Diploma Australia Holdings Limited</v>
      </c>
      <c r="C123" s="2" t="str">
        <f>+VLOOKUP(A123,'HFM Codes'!$B$2:$E$432,4,FALSE)</f>
        <v>Head Office</v>
      </c>
      <c r="D123" s="2" t="str">
        <f>+VLOOKUP(A123,'HFM Codes'!$B$2:$D$432,3,FALSE)</f>
        <v>Head Office</v>
      </c>
      <c r="E123" s="4">
        <v>0</v>
      </c>
      <c r="F123" s="4">
        <v>0</v>
      </c>
      <c r="G123" s="4">
        <v>0</v>
      </c>
      <c r="H123" s="4">
        <v>-352.30998851628664</v>
      </c>
      <c r="I123" s="4">
        <v>0</v>
      </c>
      <c r="J123" s="4">
        <v>0</v>
      </c>
      <c r="K123" s="4">
        <v>0</v>
      </c>
      <c r="L123" s="4">
        <v>0</v>
      </c>
      <c r="M123" s="4">
        <v>0</v>
      </c>
      <c r="N123" s="4">
        <v>0</v>
      </c>
      <c r="O123" s="4">
        <v>0</v>
      </c>
      <c r="P123" s="4">
        <v>0</v>
      </c>
      <c r="Q123" s="4">
        <v>0</v>
      </c>
      <c r="R123" s="4">
        <v>0</v>
      </c>
      <c r="S123" s="4">
        <v>0</v>
      </c>
      <c r="T123" s="4">
        <v>0</v>
      </c>
      <c r="U123" s="4">
        <v>0</v>
      </c>
      <c r="V123" s="4">
        <v>0</v>
      </c>
      <c r="W123" s="4">
        <v>-352.30998851628664</v>
      </c>
      <c r="X123" s="4">
        <v>-352.30998851628664</v>
      </c>
    </row>
    <row r="124" spans="1:24" hidden="1" x14ac:dyDescent="0.35">
      <c r="A124" s="2" t="s">
        <v>140</v>
      </c>
      <c r="B124" s="2" t="str">
        <f>+VLOOKUP(A124,'HFM Codes'!$B$2:$C$432,2, FALSE)</f>
        <v>Diploma Europe Holdings Limited - Euro</v>
      </c>
      <c r="C124" s="2" t="str">
        <f>+VLOOKUP(A124,'HFM Codes'!$B$2:$E$432,4,FALSE)</f>
        <v>Head Office</v>
      </c>
      <c r="D124" s="2" t="str">
        <f>+VLOOKUP(A124,'HFM Codes'!$B$2:$D$432,3,FALSE)</f>
        <v>Head Office</v>
      </c>
      <c r="E124" s="4">
        <v>0</v>
      </c>
      <c r="F124" s="4">
        <v>0</v>
      </c>
      <c r="G124" s="4">
        <v>0</v>
      </c>
      <c r="H124" s="4">
        <v>-206.98527240024092</v>
      </c>
      <c r="I124" s="4">
        <v>0</v>
      </c>
      <c r="J124" s="4">
        <v>0</v>
      </c>
      <c r="K124" s="4">
        <v>0</v>
      </c>
      <c r="L124" s="4">
        <v>0</v>
      </c>
      <c r="M124" s="4">
        <v>0</v>
      </c>
      <c r="N124" s="4">
        <v>0</v>
      </c>
      <c r="O124" s="4">
        <v>0</v>
      </c>
      <c r="P124" s="4">
        <v>0</v>
      </c>
      <c r="Q124" s="4">
        <v>0</v>
      </c>
      <c r="R124" s="4">
        <v>0</v>
      </c>
      <c r="S124" s="4">
        <v>0</v>
      </c>
      <c r="T124" s="4">
        <v>0</v>
      </c>
      <c r="U124" s="4">
        <v>0</v>
      </c>
      <c r="V124" s="4">
        <v>0</v>
      </c>
      <c r="W124" s="4">
        <v>-206.98527240024092</v>
      </c>
      <c r="X124" s="4">
        <v>-206.98527240024092</v>
      </c>
    </row>
    <row r="125" spans="1:24" hidden="1" x14ac:dyDescent="0.35">
      <c r="A125" s="2" t="s">
        <v>143</v>
      </c>
      <c r="B125" s="2" t="str">
        <f>+VLOOKUP(A125,'HFM Codes'!$B$2:$C$432,2, FALSE)</f>
        <v>GCA GBP</v>
      </c>
      <c r="C125" s="2" t="str">
        <f>+VLOOKUP(A125,'HFM Codes'!$B$2:$E$432,4,FALSE)</f>
        <v>Head Office</v>
      </c>
      <c r="D125" s="2" t="str">
        <f>+VLOOKUP(A125,'HFM Codes'!$B$2:$D$432,3,FALSE)</f>
        <v>Head Office</v>
      </c>
      <c r="E125" s="4">
        <v>0</v>
      </c>
      <c r="F125" s="4">
        <v>0</v>
      </c>
      <c r="G125" s="4">
        <v>0</v>
      </c>
      <c r="H125" s="4">
        <v>-161.08844772371165</v>
      </c>
      <c r="I125" s="4">
        <v>0</v>
      </c>
      <c r="J125" s="4">
        <v>0</v>
      </c>
      <c r="K125" s="4">
        <v>0</v>
      </c>
      <c r="L125" s="4">
        <v>0</v>
      </c>
      <c r="M125" s="4">
        <v>0</v>
      </c>
      <c r="N125" s="4">
        <v>0</v>
      </c>
      <c r="O125" s="4">
        <v>0</v>
      </c>
      <c r="P125" s="4">
        <v>0</v>
      </c>
      <c r="Q125" s="4">
        <v>0</v>
      </c>
      <c r="R125" s="4">
        <v>0</v>
      </c>
      <c r="S125" s="4">
        <v>0</v>
      </c>
      <c r="T125" s="4">
        <v>0</v>
      </c>
      <c r="U125" s="4">
        <v>0</v>
      </c>
      <c r="V125" s="4">
        <v>0</v>
      </c>
      <c r="W125" s="4">
        <v>-161.08844772371165</v>
      </c>
      <c r="X125" s="4">
        <v>-161.08844772371165</v>
      </c>
    </row>
    <row r="126" spans="1:24" hidden="1" x14ac:dyDescent="0.35">
      <c r="A126" s="2" t="s">
        <v>127</v>
      </c>
      <c r="B126" s="2" t="str">
        <f>+VLOOKUP(A126,'HFM Codes'!$B$2:$C$432,2, FALSE)</f>
        <v>Kubo GCA</v>
      </c>
      <c r="C126" s="2" t="str">
        <f>+VLOOKUP(A126,'HFM Codes'!$B$2:$E$432,4,FALSE)</f>
        <v>International Seals</v>
      </c>
      <c r="D126" s="2" t="str">
        <f>+VLOOKUP(A126,'HFM Codes'!$B$2:$D$432,3,FALSE)</f>
        <v>International Seals- Disposal</v>
      </c>
      <c r="E126" s="4">
        <v>0</v>
      </c>
      <c r="F126" s="4">
        <v>0</v>
      </c>
      <c r="G126" s="4">
        <v>0</v>
      </c>
      <c r="H126" s="4">
        <v>-97.108868119643404</v>
      </c>
      <c r="I126" s="4">
        <v>0</v>
      </c>
      <c r="J126" s="4">
        <v>0</v>
      </c>
      <c r="K126" s="4">
        <v>0</v>
      </c>
      <c r="L126" s="4">
        <v>0</v>
      </c>
      <c r="M126" s="4">
        <v>0</v>
      </c>
      <c r="N126" s="4">
        <v>0</v>
      </c>
      <c r="O126" s="4">
        <v>0</v>
      </c>
      <c r="P126" s="4">
        <v>0</v>
      </c>
      <c r="Q126" s="4">
        <v>0</v>
      </c>
      <c r="R126" s="4">
        <v>0</v>
      </c>
      <c r="S126" s="4">
        <v>0</v>
      </c>
      <c r="T126" s="4">
        <v>0</v>
      </c>
      <c r="U126" s="4">
        <v>0</v>
      </c>
      <c r="V126" s="4">
        <v>0</v>
      </c>
      <c r="W126" s="4">
        <v>-97.108868119643404</v>
      </c>
      <c r="X126" s="4">
        <v>-97.108868119643404</v>
      </c>
    </row>
    <row r="127" spans="1:24" hidden="1" x14ac:dyDescent="0.35">
      <c r="A127" s="2" t="s">
        <v>162</v>
      </c>
      <c r="B127" s="2" t="str">
        <f>+VLOOKUP(A127,'HFM Codes'!$B$2:$C$432,2, FALSE)</f>
        <v>Diploma Holdings Allocation</v>
      </c>
      <c r="C127" s="2" t="str">
        <f>+VLOOKUP(A127,'HFM Codes'!$B$2:$E$432,4,FALSE)</f>
        <v>Head Office</v>
      </c>
      <c r="D127" s="2" t="str">
        <f>+VLOOKUP(A127,'HFM Codes'!$B$2:$D$432,3,FALSE)</f>
        <v>Head Office</v>
      </c>
      <c r="E127" s="4">
        <v>0</v>
      </c>
      <c r="F127" s="4">
        <v>0</v>
      </c>
      <c r="G127" s="4">
        <v>0</v>
      </c>
      <c r="H127" s="4">
        <v>-78.231483065733315</v>
      </c>
      <c r="I127" s="4">
        <v>0</v>
      </c>
      <c r="J127" s="4">
        <v>0</v>
      </c>
      <c r="K127" s="4">
        <v>0</v>
      </c>
      <c r="L127" s="4">
        <v>0</v>
      </c>
      <c r="M127" s="4">
        <v>0</v>
      </c>
      <c r="N127" s="4">
        <v>0</v>
      </c>
      <c r="O127" s="4">
        <v>0</v>
      </c>
      <c r="P127" s="4">
        <v>0</v>
      </c>
      <c r="Q127" s="4">
        <v>0</v>
      </c>
      <c r="R127" s="4">
        <v>0</v>
      </c>
      <c r="S127" s="4">
        <v>0</v>
      </c>
      <c r="T127" s="4">
        <v>0</v>
      </c>
      <c r="U127" s="4">
        <v>0</v>
      </c>
      <c r="V127" s="4">
        <v>0</v>
      </c>
      <c r="W127" s="4">
        <v>-78.231483065733315</v>
      </c>
      <c r="X127" s="4">
        <v>-78.231483065733315</v>
      </c>
    </row>
    <row r="128" spans="1:24" hidden="1" x14ac:dyDescent="0.35">
      <c r="A128" s="2" t="s">
        <v>116</v>
      </c>
      <c r="B128" s="2" t="str">
        <f>+VLOOKUP(A128,'HFM Codes'!$B$2:$C$432,2, FALSE)</f>
        <v>GCA CAD</v>
      </c>
      <c r="C128" s="2" t="str">
        <f>+VLOOKUP(A128,'HFM Codes'!$B$2:$E$432,4,FALSE)</f>
        <v>Head Office</v>
      </c>
      <c r="D128" s="2" t="str">
        <f>+VLOOKUP(A128,'HFM Codes'!$B$2:$D$432,3,FALSE)</f>
        <v>Head Office</v>
      </c>
      <c r="E128" s="4">
        <v>0</v>
      </c>
      <c r="F128" s="4">
        <v>0</v>
      </c>
      <c r="G128" s="4">
        <v>0</v>
      </c>
      <c r="H128" s="4">
        <v>-29.180723067298818</v>
      </c>
      <c r="I128" s="4">
        <v>0</v>
      </c>
      <c r="J128" s="4">
        <v>0</v>
      </c>
      <c r="K128" s="4">
        <v>0</v>
      </c>
      <c r="L128" s="4">
        <v>0</v>
      </c>
      <c r="M128" s="4">
        <v>0</v>
      </c>
      <c r="N128" s="4">
        <v>0</v>
      </c>
      <c r="O128" s="4">
        <v>0</v>
      </c>
      <c r="P128" s="4">
        <v>0</v>
      </c>
      <c r="Q128" s="4">
        <v>0</v>
      </c>
      <c r="R128" s="4">
        <v>0</v>
      </c>
      <c r="S128" s="4">
        <v>0</v>
      </c>
      <c r="T128" s="4">
        <v>0</v>
      </c>
      <c r="U128" s="4">
        <v>0</v>
      </c>
      <c r="V128" s="4">
        <v>0</v>
      </c>
      <c r="W128" s="4">
        <v>-29.180723067298818</v>
      </c>
      <c r="X128" s="4">
        <v>-29.180723067298818</v>
      </c>
    </row>
    <row r="129" spans="1:24" hidden="1" x14ac:dyDescent="0.35">
      <c r="A129" s="2" t="s">
        <v>119</v>
      </c>
      <c r="B129" s="2" t="str">
        <f>+VLOOKUP(A129,'HFM Codes'!$B$2:$C$432,2, FALSE)</f>
        <v>GCA DKK</v>
      </c>
      <c r="C129" s="2" t="str">
        <f>+VLOOKUP(A129,'HFM Codes'!$B$2:$E$432,4,FALSE)</f>
        <v>Head Office</v>
      </c>
      <c r="D129" s="2" t="str">
        <f>+VLOOKUP(A129,'HFM Codes'!$B$2:$D$432,3,FALSE)</f>
        <v>Head Office</v>
      </c>
      <c r="E129" s="4">
        <v>0</v>
      </c>
      <c r="F129" s="4">
        <v>0</v>
      </c>
      <c r="G129" s="4">
        <v>0</v>
      </c>
      <c r="H129" s="4">
        <v>-18.189059524714907</v>
      </c>
      <c r="I129" s="4">
        <v>0</v>
      </c>
      <c r="J129" s="4">
        <v>0</v>
      </c>
      <c r="K129" s="4">
        <v>0</v>
      </c>
      <c r="L129" s="4">
        <v>0</v>
      </c>
      <c r="M129" s="4">
        <v>0</v>
      </c>
      <c r="N129" s="4">
        <v>0</v>
      </c>
      <c r="O129" s="4">
        <v>0</v>
      </c>
      <c r="P129" s="4">
        <v>0</v>
      </c>
      <c r="Q129" s="4">
        <v>0</v>
      </c>
      <c r="R129" s="4">
        <v>0</v>
      </c>
      <c r="S129" s="4">
        <v>0</v>
      </c>
      <c r="T129" s="4">
        <v>0</v>
      </c>
      <c r="U129" s="4">
        <v>0</v>
      </c>
      <c r="V129" s="4">
        <v>0</v>
      </c>
      <c r="W129" s="4">
        <v>-18.189059524714907</v>
      </c>
      <c r="X129" s="4">
        <v>-18.189059524714907</v>
      </c>
    </row>
    <row r="130" spans="1:24" hidden="1" x14ac:dyDescent="0.35">
      <c r="A130" s="2" t="s">
        <v>38</v>
      </c>
      <c r="B130" s="2" t="str">
        <f>+VLOOKUP(A130,'HFM Codes'!$B$2:$C$432,2, FALSE)</f>
        <v>Hawco</v>
      </c>
      <c r="C130" s="2" t="str">
        <f>+VLOOKUP(A130,'HFM Codes'!$B$2:$E$432,4,FALSE)</f>
        <v>Controls</v>
      </c>
      <c r="D130" s="2" t="str">
        <f>+VLOOKUP(A130,'HFM Codes'!$B$2:$D$432,3,FALSE)</f>
        <v>Controls Disposal</v>
      </c>
      <c r="E130" s="4">
        <v>0</v>
      </c>
      <c r="F130" s="4">
        <v>0</v>
      </c>
      <c r="G130" s="4">
        <v>0</v>
      </c>
      <c r="H130" s="4">
        <v>0</v>
      </c>
      <c r="I130" s="4">
        <v>0</v>
      </c>
      <c r="J130" s="4">
        <v>0</v>
      </c>
      <c r="K130" s="4">
        <v>0</v>
      </c>
      <c r="L130" s="4">
        <v>0</v>
      </c>
      <c r="M130" s="4">
        <v>0</v>
      </c>
      <c r="N130" s="4">
        <v>0</v>
      </c>
      <c r="O130" s="4">
        <v>0</v>
      </c>
      <c r="P130" s="4">
        <v>0</v>
      </c>
      <c r="Q130" s="4">
        <v>0</v>
      </c>
      <c r="R130" s="4">
        <v>0</v>
      </c>
      <c r="S130" s="4">
        <v>0</v>
      </c>
      <c r="T130" s="4">
        <v>0</v>
      </c>
      <c r="U130" s="4">
        <v>0</v>
      </c>
      <c r="V130" s="4">
        <v>0</v>
      </c>
      <c r="W130" s="4">
        <v>0</v>
      </c>
      <c r="X130" s="4">
        <v>0</v>
      </c>
    </row>
    <row r="131" spans="1:24" hidden="1" x14ac:dyDescent="0.35">
      <c r="A131" s="2" t="s">
        <v>39</v>
      </c>
      <c r="B131" s="2" t="str">
        <f>+VLOOKUP(A131,'HFM Codes'!$B$2:$C$432,2, FALSE)</f>
        <v>Abbeychart</v>
      </c>
      <c r="C131" s="2" t="str">
        <f>+VLOOKUP(A131,'HFM Codes'!$B$2:$E$432,4,FALSE)</f>
        <v>Controls</v>
      </c>
      <c r="D131" s="2" t="str">
        <f>+VLOOKUP(A131,'HFM Codes'!$B$2:$D$432,3,FALSE)</f>
        <v>Controls Disposal</v>
      </c>
      <c r="E131" s="4">
        <v>0</v>
      </c>
      <c r="F131" s="4">
        <v>0</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row>
    <row r="132" spans="1:24" hidden="1" x14ac:dyDescent="0.35">
      <c r="A132" s="2" t="s">
        <v>150</v>
      </c>
      <c r="B132" s="2" t="str">
        <f>+VLOOKUP(A132,'HFM Codes'!$B$2:$C$432,2, FALSE)</f>
        <v>R&amp;G GCA</v>
      </c>
      <c r="C132" s="2" t="str">
        <f>+VLOOKUP(A132,'HFM Codes'!$B$2:$E$432,4,FALSE)</f>
        <v>International Seals (excl Disposals)</v>
      </c>
      <c r="D132" s="2" t="str">
        <f>+VLOOKUP(A132,'HFM Codes'!$B$2:$D$432,3,FALSE)</f>
        <v>R&amp;G Fluid Power Group</v>
      </c>
      <c r="E132" s="4">
        <v>0</v>
      </c>
      <c r="F132" s="4">
        <v>0</v>
      </c>
      <c r="G132" s="4">
        <v>0</v>
      </c>
      <c r="H132" s="4">
        <v>0</v>
      </c>
      <c r="I132" s="4">
        <v>0</v>
      </c>
      <c r="J132" s="4">
        <v>0</v>
      </c>
      <c r="K132" s="4">
        <v>0</v>
      </c>
      <c r="L132" s="4">
        <v>0</v>
      </c>
      <c r="M132" s="4">
        <v>0</v>
      </c>
      <c r="N132" s="4">
        <v>0</v>
      </c>
      <c r="O132" s="4">
        <v>0</v>
      </c>
      <c r="P132" s="4">
        <v>0</v>
      </c>
      <c r="Q132" s="4">
        <v>0</v>
      </c>
      <c r="R132" s="4">
        <v>0</v>
      </c>
      <c r="S132" s="4">
        <v>0</v>
      </c>
      <c r="T132" s="4">
        <v>0</v>
      </c>
      <c r="U132" s="4">
        <v>0</v>
      </c>
      <c r="V132" s="4">
        <v>0</v>
      </c>
      <c r="W132" s="4">
        <v>0</v>
      </c>
      <c r="X132" s="4">
        <v>0</v>
      </c>
    </row>
    <row r="133" spans="1:24" hidden="1" x14ac:dyDescent="0.35">
      <c r="A133" s="2" t="s">
        <v>87</v>
      </c>
      <c r="B133" s="2" t="str">
        <f>+VLOOKUP(A133,'HFM Codes'!$B$2:$C$432,2, FALSE)</f>
        <v>Millenium Coupling Company</v>
      </c>
      <c r="C133" s="2" t="str">
        <f>+VLOOKUP(A133,'HFM Codes'!$B$2:$E$432,4,FALSE)</f>
        <v>International Seals (excl Disposals)</v>
      </c>
      <c r="D133" s="2" t="str">
        <f>+VLOOKUP(A133,'HFM Codes'!$B$2:$D$432,3,FALSE)</f>
        <v>R&amp;G Industrial</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row>
    <row r="134" spans="1:24" hidden="1" x14ac:dyDescent="0.35">
      <c r="A134" s="2" t="s">
        <v>79</v>
      </c>
      <c r="B134" s="2" t="str">
        <f>+VLOOKUP(A134,'HFM Codes'!$B$2:$C$432,2, FALSE)</f>
        <v>Exeter Hose &amp; Hydraulics</v>
      </c>
      <c r="C134" s="2" t="str">
        <f>+VLOOKUP(A134,'HFM Codes'!$B$2:$E$432,4,FALSE)</f>
        <v>International Seals (excl Disposals)</v>
      </c>
      <c r="D134" s="2" t="str">
        <f>+VLOOKUP(A134,'HFM Codes'!$B$2:$D$432,3,FALSE)</f>
        <v>R&amp;G Hydraulics</v>
      </c>
      <c r="E134" s="4">
        <v>0.84429743999999995</v>
      </c>
      <c r="F134" s="4">
        <v>0</v>
      </c>
      <c r="G134" s="4">
        <v>0</v>
      </c>
      <c r="H134" s="4">
        <v>0</v>
      </c>
      <c r="I134" s="4">
        <v>0</v>
      </c>
      <c r="J134" s="4">
        <v>0.20529936000000001</v>
      </c>
      <c r="K134" s="4">
        <v>0</v>
      </c>
      <c r="L134" s="4">
        <v>0</v>
      </c>
      <c r="M134" s="4">
        <v>0</v>
      </c>
      <c r="N134" s="4">
        <v>0</v>
      </c>
      <c r="O134" s="4">
        <v>0</v>
      </c>
      <c r="P134" s="4">
        <v>0</v>
      </c>
      <c r="Q134" s="4">
        <v>0</v>
      </c>
      <c r="R134" s="4">
        <v>0</v>
      </c>
      <c r="S134" s="4">
        <v>0</v>
      </c>
      <c r="T134" s="4">
        <v>0</v>
      </c>
      <c r="U134" s="4">
        <v>0</v>
      </c>
      <c r="V134" s="4">
        <v>0</v>
      </c>
      <c r="W134" s="4">
        <v>1.0495968</v>
      </c>
      <c r="X134" s="4">
        <v>1.0495968</v>
      </c>
    </row>
    <row r="135" spans="1:24" hidden="1" x14ac:dyDescent="0.35">
      <c r="A135" s="2" t="s">
        <v>80</v>
      </c>
      <c r="B135" s="2" t="str">
        <f>+VLOOKUP(A135,'HFM Codes'!$B$2:$C$432,2, FALSE)</f>
        <v>North Devon Hose &amp; Hydraulics</v>
      </c>
      <c r="C135" s="2" t="str">
        <f>+VLOOKUP(A135,'HFM Codes'!$B$2:$E$432,4,FALSE)</f>
        <v>International Seals (excl Disposals)</v>
      </c>
      <c r="D135" s="2" t="str">
        <f>+VLOOKUP(A135,'HFM Codes'!$B$2:$D$432,3,FALSE)</f>
        <v>R&amp;G Hydraulics</v>
      </c>
      <c r="E135" s="4">
        <v>3.2942676900000003</v>
      </c>
      <c r="F135" s="4">
        <v>0</v>
      </c>
      <c r="G135" s="4">
        <v>0</v>
      </c>
      <c r="H135" s="4">
        <v>0</v>
      </c>
      <c r="I135" s="4">
        <v>0</v>
      </c>
      <c r="J135" s="4">
        <v>0.80103411000000002</v>
      </c>
      <c r="K135" s="4">
        <v>0</v>
      </c>
      <c r="L135" s="4">
        <v>0</v>
      </c>
      <c r="M135" s="4">
        <v>0</v>
      </c>
      <c r="N135" s="4">
        <v>0</v>
      </c>
      <c r="O135" s="4">
        <v>0</v>
      </c>
      <c r="P135" s="4">
        <v>0</v>
      </c>
      <c r="Q135" s="4">
        <v>0</v>
      </c>
      <c r="R135" s="4">
        <v>0</v>
      </c>
      <c r="S135" s="4">
        <v>0</v>
      </c>
      <c r="T135" s="4">
        <v>0</v>
      </c>
      <c r="U135" s="4">
        <v>0</v>
      </c>
      <c r="V135" s="4">
        <v>0</v>
      </c>
      <c r="W135" s="4">
        <v>4.0953018000000005</v>
      </c>
      <c r="X135" s="4">
        <v>4.0953018000000005</v>
      </c>
    </row>
    <row r="136" spans="1:24" hidden="1" x14ac:dyDescent="0.35">
      <c r="A136" s="2" t="s">
        <v>46</v>
      </c>
      <c r="B136" s="2" t="str">
        <f>+VLOOKUP(A136,'HFM Codes'!$B$2:$C$432,2, FALSE)</f>
        <v>AMT</v>
      </c>
      <c r="C136" s="2" t="str">
        <f>+VLOOKUP(A136,'HFM Codes'!$B$2:$E$432,4,FALSE)</f>
        <v>Life Sciences</v>
      </c>
      <c r="D136" s="2" t="str">
        <f>+VLOOKUP(A136,'HFM Codes'!$B$2:$D$432,3,FALSE)</f>
        <v>Life Sciences North America</v>
      </c>
      <c r="E136" s="4">
        <v>67.284090899999995</v>
      </c>
      <c r="F136" s="4">
        <v>10.0415260488</v>
      </c>
      <c r="G136" s="4">
        <v>10.0415260488</v>
      </c>
      <c r="H136" s="4">
        <v>0</v>
      </c>
      <c r="I136" s="4">
        <v>0</v>
      </c>
      <c r="J136" s="4">
        <v>14.116354567573655</v>
      </c>
      <c r="K136" s="4">
        <v>0</v>
      </c>
      <c r="L136" s="4">
        <v>0</v>
      </c>
      <c r="M136" s="4">
        <v>0</v>
      </c>
      <c r="N136" s="4">
        <v>0</v>
      </c>
      <c r="O136" s="4">
        <v>0</v>
      </c>
      <c r="P136" s="4">
        <v>0</v>
      </c>
      <c r="Q136" s="4">
        <v>0</v>
      </c>
      <c r="R136" s="4">
        <v>0</v>
      </c>
      <c r="S136" s="4">
        <v>0</v>
      </c>
      <c r="T136" s="4">
        <v>0</v>
      </c>
      <c r="U136" s="4">
        <v>0</v>
      </c>
      <c r="V136" s="4">
        <v>0</v>
      </c>
      <c r="W136" s="4">
        <v>91.441971516373656</v>
      </c>
      <c r="X136" s="4">
        <v>91.441971516373641</v>
      </c>
    </row>
    <row r="137" spans="1:24" hidden="1" x14ac:dyDescent="0.35">
      <c r="A137" s="2" t="s">
        <v>139</v>
      </c>
      <c r="B137" s="2" t="str">
        <f>+VLOOKUP(A137,'HFM Codes'!$B$2:$C$432,2, FALSE)</f>
        <v>Diploma Overseas Ltd</v>
      </c>
      <c r="C137" s="2" t="str">
        <f>+VLOOKUP(A137,'HFM Codes'!$B$2:$E$432,4,FALSE)</f>
        <v>Head Office</v>
      </c>
      <c r="D137" s="2" t="str">
        <f>+VLOOKUP(A137,'HFM Codes'!$B$2:$D$432,3,FALSE)</f>
        <v>Head Office</v>
      </c>
      <c r="E137" s="4">
        <v>0</v>
      </c>
      <c r="F137" s="4">
        <v>0</v>
      </c>
      <c r="G137" s="4">
        <v>0</v>
      </c>
      <c r="H137" s="4">
        <v>0.14167143072294186</v>
      </c>
      <c r="I137" s="4">
        <v>0</v>
      </c>
      <c r="J137" s="4">
        <v>0</v>
      </c>
      <c r="K137" s="4">
        <v>0</v>
      </c>
      <c r="L137" s="4">
        <v>0</v>
      </c>
      <c r="M137" s="4">
        <v>0</v>
      </c>
      <c r="N137" s="4">
        <v>0</v>
      </c>
      <c r="O137" s="4">
        <v>0</v>
      </c>
      <c r="P137" s="4">
        <v>0</v>
      </c>
      <c r="Q137" s="4">
        <v>0</v>
      </c>
      <c r="R137" s="4">
        <v>0</v>
      </c>
      <c r="S137" s="4">
        <v>0</v>
      </c>
      <c r="T137" s="4">
        <v>0</v>
      </c>
      <c r="U137" s="4">
        <v>0</v>
      </c>
      <c r="V137" s="4">
        <v>0</v>
      </c>
      <c r="W137" s="4">
        <v>0.14167143072294186</v>
      </c>
      <c r="X137" s="4">
        <v>0.14167143072294186</v>
      </c>
    </row>
    <row r="138" spans="1:24" hidden="1" x14ac:dyDescent="0.35">
      <c r="A138" s="2" t="s">
        <v>148</v>
      </c>
      <c r="B138" s="2" t="str">
        <f>+VLOOKUP(A138,'HFM Codes'!$B$2:$C$432,2, FALSE)</f>
        <v>R&amp;G Investments</v>
      </c>
      <c r="C138" s="2" t="str">
        <f>+VLOOKUP(A138,'HFM Codes'!$B$2:$E$432,4,FALSE)</f>
        <v>International Seals (excl Disposals)</v>
      </c>
      <c r="D138" s="2" t="str">
        <f>+VLOOKUP(A138,'HFM Codes'!$B$2:$D$432,3,FALSE)</f>
        <v>R&amp;G Fluid Power Group</v>
      </c>
      <c r="E138" s="4">
        <v>0</v>
      </c>
      <c r="F138" s="4">
        <v>0</v>
      </c>
      <c r="G138" s="4">
        <v>0</v>
      </c>
      <c r="H138" s="4">
        <v>0.33025396879389668</v>
      </c>
      <c r="I138" s="4">
        <v>0</v>
      </c>
      <c r="J138" s="4">
        <v>0</v>
      </c>
      <c r="K138" s="4">
        <v>0</v>
      </c>
      <c r="L138" s="4">
        <v>0</v>
      </c>
      <c r="M138" s="4">
        <v>0</v>
      </c>
      <c r="N138" s="4">
        <v>0</v>
      </c>
      <c r="O138" s="4">
        <v>-8.7846951370995896</v>
      </c>
      <c r="P138" s="4">
        <v>0</v>
      </c>
      <c r="Q138" s="4">
        <v>0</v>
      </c>
      <c r="R138" s="4">
        <v>0</v>
      </c>
      <c r="S138" s="4">
        <v>0</v>
      </c>
      <c r="T138" s="4">
        <v>0</v>
      </c>
      <c r="U138" s="4">
        <v>0</v>
      </c>
      <c r="V138" s="4">
        <v>0</v>
      </c>
      <c r="W138" s="4">
        <v>-8.4544411683056921</v>
      </c>
      <c r="X138" s="4">
        <v>-8.4544411683056921</v>
      </c>
    </row>
    <row r="139" spans="1:24" hidden="1" x14ac:dyDescent="0.35">
      <c r="A139" s="2" t="s">
        <v>115</v>
      </c>
      <c r="B139" s="2" t="str">
        <f>+VLOOKUP(A139,'HFM Codes'!$B$2:$C$432,2, FALSE)</f>
        <v>Diploma Australia Healthcare Pty Ltd</v>
      </c>
      <c r="C139" s="2" t="str">
        <f>+VLOOKUP(A139,'HFM Codes'!$B$2:$E$432,4,FALSE)</f>
        <v>Head Office</v>
      </c>
      <c r="D139" s="2" t="str">
        <f>+VLOOKUP(A139,'HFM Codes'!$B$2:$D$432,3,FALSE)</f>
        <v>Head Office</v>
      </c>
      <c r="E139" s="4">
        <v>0</v>
      </c>
      <c r="F139" s="4">
        <v>0</v>
      </c>
      <c r="G139" s="4">
        <v>0</v>
      </c>
      <c r="H139" s="4">
        <v>0.87219470495332663</v>
      </c>
      <c r="I139" s="4">
        <v>0</v>
      </c>
      <c r="J139" s="4">
        <v>0</v>
      </c>
      <c r="K139" s="4">
        <v>0</v>
      </c>
      <c r="L139" s="4">
        <v>0</v>
      </c>
      <c r="M139" s="4">
        <v>0</v>
      </c>
      <c r="N139" s="4">
        <v>0</v>
      </c>
      <c r="O139" s="4">
        <v>0</v>
      </c>
      <c r="P139" s="4">
        <v>0</v>
      </c>
      <c r="Q139" s="4">
        <v>0</v>
      </c>
      <c r="R139" s="4">
        <v>0</v>
      </c>
      <c r="S139" s="4">
        <v>0</v>
      </c>
      <c r="T139" s="4">
        <v>0</v>
      </c>
      <c r="U139" s="4">
        <v>0</v>
      </c>
      <c r="V139" s="4">
        <v>0</v>
      </c>
      <c r="W139" s="4">
        <v>0.87219470495332663</v>
      </c>
      <c r="X139" s="4">
        <v>0.87219470495332663</v>
      </c>
    </row>
    <row r="140" spans="1:24" hidden="1" x14ac:dyDescent="0.35">
      <c r="A140" s="2" t="s">
        <v>141</v>
      </c>
      <c r="B140" s="2" t="str">
        <f>+VLOOKUP(A140,'HFM Codes'!$B$2:$C$432,2, FALSE)</f>
        <v>Newlandglebe Ltd</v>
      </c>
      <c r="C140" s="2" t="str">
        <f>+VLOOKUP(A140,'HFM Codes'!$B$2:$E$432,4,FALSE)</f>
        <v>Head Office</v>
      </c>
      <c r="D140" s="2" t="str">
        <f>+VLOOKUP(A140,'HFM Codes'!$B$2:$D$432,3,FALSE)</f>
        <v>Head Office</v>
      </c>
      <c r="E140" s="4">
        <v>0</v>
      </c>
      <c r="F140" s="4">
        <v>0</v>
      </c>
      <c r="G140" s="4">
        <v>0</v>
      </c>
      <c r="H140" s="4">
        <v>1.040774668862807</v>
      </c>
      <c r="I140" s="4">
        <v>0</v>
      </c>
      <c r="J140" s="4">
        <v>0</v>
      </c>
      <c r="K140" s="4">
        <v>0</v>
      </c>
      <c r="L140" s="4">
        <v>0</v>
      </c>
      <c r="M140" s="4">
        <v>0</v>
      </c>
      <c r="N140" s="4">
        <v>0</v>
      </c>
      <c r="O140" s="4">
        <v>0</v>
      </c>
      <c r="P140" s="4">
        <v>0</v>
      </c>
      <c r="Q140" s="4">
        <v>0</v>
      </c>
      <c r="R140" s="4">
        <v>0</v>
      </c>
      <c r="S140" s="4">
        <v>0</v>
      </c>
      <c r="T140" s="4">
        <v>0</v>
      </c>
      <c r="U140" s="4">
        <v>0</v>
      </c>
      <c r="V140" s="4">
        <v>0</v>
      </c>
      <c r="W140" s="4">
        <v>1.040774668862807</v>
      </c>
      <c r="X140" s="4">
        <v>1.040774668862807</v>
      </c>
    </row>
    <row r="141" spans="1:24" hidden="1" x14ac:dyDescent="0.35">
      <c r="A141" s="2" t="s">
        <v>149</v>
      </c>
      <c r="B141" s="2" t="str">
        <f>+VLOOKUP(A141,'HFM Codes'!$B$2:$C$432,2, FALSE)</f>
        <v>Pneumatic Services Limited</v>
      </c>
      <c r="C141" s="2" t="str">
        <f>+VLOOKUP(A141,'HFM Codes'!$B$2:$E$432,4,FALSE)</f>
        <v>International Seals</v>
      </c>
      <c r="D141" s="2" t="str">
        <f>+VLOOKUP(A141,'HFM Codes'!$B$2:$D$432,3,FALSE)</f>
        <v>International Seals- Disposal</v>
      </c>
      <c r="E141" s="4">
        <v>0</v>
      </c>
      <c r="F141" s="4">
        <v>0</v>
      </c>
      <c r="G141" s="4">
        <v>0</v>
      </c>
      <c r="H141" s="4">
        <v>1.5730449710379331</v>
      </c>
      <c r="I141" s="4">
        <v>0</v>
      </c>
      <c r="J141" s="4">
        <v>0</v>
      </c>
      <c r="K141" s="4">
        <v>0</v>
      </c>
      <c r="L141" s="4">
        <v>0</v>
      </c>
      <c r="M141" s="4">
        <v>0</v>
      </c>
      <c r="N141" s="4">
        <v>0</v>
      </c>
      <c r="O141" s="4">
        <v>0</v>
      </c>
      <c r="P141" s="4">
        <v>0</v>
      </c>
      <c r="Q141" s="4">
        <v>0</v>
      </c>
      <c r="R141" s="4">
        <v>0</v>
      </c>
      <c r="S141" s="4">
        <v>0</v>
      </c>
      <c r="T141" s="4">
        <v>0</v>
      </c>
      <c r="U141" s="4">
        <v>0</v>
      </c>
      <c r="V141" s="4">
        <v>0</v>
      </c>
      <c r="W141" s="4">
        <v>1.5730449710379331</v>
      </c>
      <c r="X141" s="4">
        <v>1.5730449710379331</v>
      </c>
    </row>
    <row r="142" spans="1:24" hidden="1" x14ac:dyDescent="0.35">
      <c r="A142" s="2" t="s">
        <v>125</v>
      </c>
      <c r="B142" s="2" t="str">
        <f>+VLOOKUP(A142,'HFM Codes'!$B$2:$C$432,2, FALSE)</f>
        <v>International Seals HO (EUR)</v>
      </c>
      <c r="C142" s="2" t="str">
        <f>+VLOOKUP(A142,'HFM Codes'!$B$2:$E$432,4,FALSE)</f>
        <v>International Seals (excl Disposals)</v>
      </c>
      <c r="D142" s="2" t="str">
        <f>+VLOOKUP(A142,'HFM Codes'!$B$2:$D$432,3,FALSE)</f>
        <v>International Seals HO</v>
      </c>
      <c r="E142" s="4">
        <v>0</v>
      </c>
      <c r="F142" s="4">
        <v>0</v>
      </c>
      <c r="G142" s="4">
        <v>0</v>
      </c>
      <c r="H142" s="4">
        <v>1.7456556782309678</v>
      </c>
      <c r="I142" s="4">
        <v>0</v>
      </c>
      <c r="J142" s="4">
        <v>0</v>
      </c>
      <c r="K142" s="4">
        <v>0</v>
      </c>
      <c r="L142" s="4">
        <v>0</v>
      </c>
      <c r="M142" s="4">
        <v>0</v>
      </c>
      <c r="N142" s="4">
        <v>0</v>
      </c>
      <c r="O142" s="4">
        <v>0</v>
      </c>
      <c r="P142" s="4">
        <v>0</v>
      </c>
      <c r="Q142" s="4">
        <v>0</v>
      </c>
      <c r="R142" s="4">
        <v>0</v>
      </c>
      <c r="S142" s="4">
        <v>0</v>
      </c>
      <c r="T142" s="4">
        <v>0</v>
      </c>
      <c r="U142" s="4">
        <v>0</v>
      </c>
      <c r="V142" s="4">
        <v>0</v>
      </c>
      <c r="W142" s="4">
        <v>1.7456556782309678</v>
      </c>
      <c r="X142" s="4">
        <v>1.7456556782309678</v>
      </c>
    </row>
    <row r="143" spans="1:24" hidden="1" x14ac:dyDescent="0.35">
      <c r="A143" s="2" t="s">
        <v>123</v>
      </c>
      <c r="B143" s="2" t="str">
        <f>+VLOOKUP(A143,'HFM Codes'!$B$2:$C$432,2, FALSE)</f>
        <v>Diploma Germany Holding GmbH</v>
      </c>
      <c r="C143" s="2" t="str">
        <f>+VLOOKUP(A143,'HFM Codes'!$B$2:$E$432,4,FALSE)</f>
        <v>Head Office</v>
      </c>
      <c r="D143" s="2" t="str">
        <f>+VLOOKUP(A143,'HFM Codes'!$B$2:$D$432,3,FALSE)</f>
        <v>Head Office</v>
      </c>
      <c r="E143" s="4">
        <v>0</v>
      </c>
      <c r="F143" s="4">
        <v>0</v>
      </c>
      <c r="G143" s="4">
        <v>0</v>
      </c>
      <c r="H143" s="4">
        <v>7.521304132115695</v>
      </c>
      <c r="I143" s="4">
        <v>0</v>
      </c>
      <c r="J143" s="4">
        <v>0</v>
      </c>
      <c r="K143" s="4">
        <v>0</v>
      </c>
      <c r="L143" s="4">
        <v>0</v>
      </c>
      <c r="M143" s="4">
        <v>0</v>
      </c>
      <c r="N143" s="4">
        <v>0</v>
      </c>
      <c r="O143" s="4">
        <v>0</v>
      </c>
      <c r="P143" s="4">
        <v>0</v>
      </c>
      <c r="Q143" s="4">
        <v>0</v>
      </c>
      <c r="R143" s="4">
        <v>0</v>
      </c>
      <c r="S143" s="4">
        <v>0</v>
      </c>
      <c r="T143" s="4">
        <v>0</v>
      </c>
      <c r="U143" s="4">
        <v>0</v>
      </c>
      <c r="V143" s="4">
        <v>0</v>
      </c>
      <c r="W143" s="4">
        <v>7.521304132115695</v>
      </c>
      <c r="X143" s="4">
        <v>7.521304132115695</v>
      </c>
    </row>
    <row r="144" spans="1:24" hidden="1" x14ac:dyDescent="0.35">
      <c r="A144" s="2" t="s">
        <v>124</v>
      </c>
      <c r="B144" s="2" t="str">
        <f>+VLOOKUP(A144,'HFM Codes'!$B$2:$C$432,2, FALSE)</f>
        <v>GCA EUR</v>
      </c>
      <c r="C144" s="2" t="str">
        <f>+VLOOKUP(A144,'HFM Codes'!$B$2:$E$432,4,FALSE)</f>
        <v>Head Office</v>
      </c>
      <c r="D144" s="2" t="str">
        <f>+VLOOKUP(A144,'HFM Codes'!$B$2:$D$432,3,FALSE)</f>
        <v>Head Office</v>
      </c>
      <c r="E144" s="4">
        <v>0</v>
      </c>
      <c r="F144" s="4">
        <v>0</v>
      </c>
      <c r="G144" s="4">
        <v>0</v>
      </c>
      <c r="H144" s="4">
        <v>69.08375446618362</v>
      </c>
      <c r="I144" s="4">
        <v>0</v>
      </c>
      <c r="J144" s="4">
        <v>0</v>
      </c>
      <c r="K144" s="4">
        <v>0</v>
      </c>
      <c r="L144" s="4">
        <v>0</v>
      </c>
      <c r="M144" s="4">
        <v>0</v>
      </c>
      <c r="N144" s="4">
        <v>0</v>
      </c>
      <c r="O144" s="4">
        <v>0</v>
      </c>
      <c r="P144" s="4">
        <v>0</v>
      </c>
      <c r="Q144" s="4">
        <v>0</v>
      </c>
      <c r="R144" s="4">
        <v>0</v>
      </c>
      <c r="S144" s="4">
        <v>0</v>
      </c>
      <c r="T144" s="4">
        <v>0</v>
      </c>
      <c r="U144" s="4">
        <v>0</v>
      </c>
      <c r="V144" s="4">
        <v>0</v>
      </c>
      <c r="W144" s="4">
        <v>69.08375446618362</v>
      </c>
      <c r="X144" s="4">
        <v>69.08375446618362</v>
      </c>
    </row>
    <row r="145" spans="1:24" hidden="1" x14ac:dyDescent="0.35">
      <c r="A145" s="2" t="s">
        <v>160</v>
      </c>
      <c r="B145" s="2" t="str">
        <f>+VLOOKUP(A145,'HFM Codes'!$B$2:$C$432,2, FALSE)</f>
        <v>GCA USD</v>
      </c>
      <c r="C145" s="2" t="str">
        <f>+VLOOKUP(A145,'HFM Codes'!$B$2:$E$432,4,FALSE)</f>
        <v>Head Office</v>
      </c>
      <c r="D145" s="2" t="str">
        <f>+VLOOKUP(A145,'HFM Codes'!$B$2:$D$432,3,FALSE)</f>
        <v>Head Office</v>
      </c>
      <c r="E145" s="4">
        <v>0</v>
      </c>
      <c r="F145" s="4">
        <v>0</v>
      </c>
      <c r="G145" s="4">
        <v>0</v>
      </c>
      <c r="H145" s="4">
        <v>423.7110415191807</v>
      </c>
      <c r="I145" s="4">
        <v>0</v>
      </c>
      <c r="J145" s="4">
        <v>0</v>
      </c>
      <c r="K145" s="4">
        <v>0</v>
      </c>
      <c r="L145" s="4">
        <v>0</v>
      </c>
      <c r="M145" s="4">
        <v>0</v>
      </c>
      <c r="N145" s="4">
        <v>0</v>
      </c>
      <c r="O145" s="4">
        <v>0</v>
      </c>
      <c r="P145" s="4">
        <v>0</v>
      </c>
      <c r="Q145" s="4">
        <v>0</v>
      </c>
      <c r="R145" s="4">
        <v>0</v>
      </c>
      <c r="S145" s="4">
        <v>0</v>
      </c>
      <c r="T145" s="4">
        <v>0</v>
      </c>
      <c r="U145" s="4">
        <v>0</v>
      </c>
      <c r="V145" s="4">
        <v>0</v>
      </c>
      <c r="W145" s="4">
        <v>423.7110415191807</v>
      </c>
      <c r="X145" s="4">
        <v>423.7110415191807</v>
      </c>
    </row>
    <row r="146" spans="1:24" hidden="1" x14ac:dyDescent="0.35">
      <c r="A146" s="2" t="s">
        <v>109</v>
      </c>
      <c r="B146" s="2" t="str">
        <f>+VLOOKUP(A146,'HFM Codes'!$B$2:$C$432,2, FALSE)</f>
        <v>BGS NZ</v>
      </c>
      <c r="C146" s="2" t="str">
        <f>+VLOOKUP(A146,'HFM Codes'!$B$2:$E$432,4,FALSE)</f>
        <v>Life Sciences</v>
      </c>
      <c r="D146" s="2" t="str">
        <f>+VLOOKUP(A146,'HFM Codes'!$B$2:$D$432,3,FALSE)</f>
        <v>Life Sciences Australasia</v>
      </c>
      <c r="E146" s="4">
        <v>0</v>
      </c>
      <c r="F146" s="4">
        <v>0</v>
      </c>
      <c r="G146" s="4">
        <v>0</v>
      </c>
      <c r="H146" s="4">
        <v>385.76592669348037</v>
      </c>
      <c r="I146" s="4">
        <v>0</v>
      </c>
      <c r="J146" s="4">
        <v>0</v>
      </c>
      <c r="K146" s="4">
        <v>-19.352694622863574</v>
      </c>
      <c r="L146" s="4">
        <v>0</v>
      </c>
      <c r="M146" s="4">
        <v>0</v>
      </c>
      <c r="N146" s="4">
        <v>0</v>
      </c>
      <c r="O146" s="4">
        <v>0</v>
      </c>
      <c r="P146" s="4">
        <v>0</v>
      </c>
      <c r="Q146" s="4">
        <v>0</v>
      </c>
      <c r="R146" s="4">
        <v>0</v>
      </c>
      <c r="S146" s="4">
        <v>2.8199125868855101E-2</v>
      </c>
      <c r="T146" s="4">
        <v>0</v>
      </c>
      <c r="U146" s="4">
        <v>0</v>
      </c>
      <c r="V146" s="4">
        <v>0</v>
      </c>
      <c r="W146" s="4">
        <v>366.44143119648567</v>
      </c>
      <c r="X146" s="4">
        <v>366.44143119648567</v>
      </c>
    </row>
    <row r="147" spans="1:24" hidden="1" x14ac:dyDescent="0.35">
      <c r="A147" s="2" t="s">
        <v>86</v>
      </c>
      <c r="B147" s="2" t="str">
        <f>+VLOOKUP(A147,'HFM Codes'!$B$2:$C$432,2, FALSE)</f>
        <v>Lancashire Hose &amp; Fittings</v>
      </c>
      <c r="C147" s="2" t="str">
        <f>+VLOOKUP(A147,'HFM Codes'!$B$2:$E$432,4,FALSE)</f>
        <v>International Seals (excl Disposals)</v>
      </c>
      <c r="D147" s="2" t="str">
        <f>+VLOOKUP(A147,'HFM Codes'!$B$2:$D$432,3,FALSE)</f>
        <v>R&amp;G Hydraulics</v>
      </c>
      <c r="E147" s="4">
        <v>0.77645210999999992</v>
      </c>
      <c r="F147" s="4">
        <v>1.2642564878726315</v>
      </c>
      <c r="G147" s="4">
        <v>0.67394775000000007</v>
      </c>
      <c r="H147" s="4">
        <v>15.344749969914632</v>
      </c>
      <c r="I147" s="4">
        <v>-10.803325245495706</v>
      </c>
      <c r="J147" s="4">
        <v>0.4163019665023458</v>
      </c>
      <c r="K147" s="4">
        <v>0.8006094220549409</v>
      </c>
      <c r="L147" s="4">
        <v>0</v>
      </c>
      <c r="M147" s="4">
        <v>0</v>
      </c>
      <c r="N147" s="4">
        <v>0</v>
      </c>
      <c r="O147" s="4">
        <v>1.0465966671830118</v>
      </c>
      <c r="P147" s="4">
        <v>0</v>
      </c>
      <c r="Q147" s="4">
        <v>0</v>
      </c>
      <c r="R147" s="4">
        <v>0</v>
      </c>
      <c r="S147" s="4">
        <v>0</v>
      </c>
      <c r="T147" s="4">
        <v>0</v>
      </c>
      <c r="U147" s="4">
        <v>0</v>
      </c>
      <c r="V147" s="4">
        <v>0</v>
      </c>
      <c r="W147" s="4">
        <v>8.2553326401592244</v>
      </c>
      <c r="X147" s="4">
        <v>8.8456413780318552</v>
      </c>
    </row>
    <row r="148" spans="1:24" hidden="1" x14ac:dyDescent="0.35">
      <c r="A148" s="2" t="s">
        <v>145</v>
      </c>
      <c r="B148" s="2" t="str">
        <f>+VLOOKUP(A148,'HFM Codes'!$B$2:$C$432,2, FALSE)</f>
        <v>Head Office Allocation</v>
      </c>
      <c r="C148" s="2" t="str">
        <f>+VLOOKUP(A148,'HFM Codes'!$B$2:$E$432,4,FALSE)</f>
        <v>Head Office</v>
      </c>
      <c r="D148" s="2" t="str">
        <f>+VLOOKUP(A148,'HFM Codes'!$B$2:$D$432,3,FALSE)</f>
        <v>Head Office</v>
      </c>
      <c r="E148" s="4">
        <v>0</v>
      </c>
      <c r="F148" s="4">
        <v>0</v>
      </c>
      <c r="G148" s="4">
        <v>0</v>
      </c>
      <c r="H148" s="4">
        <v>-16.902340026377647</v>
      </c>
      <c r="I148" s="4">
        <v>0</v>
      </c>
      <c r="J148" s="4">
        <v>0</v>
      </c>
      <c r="K148" s="4">
        <v>0</v>
      </c>
      <c r="L148" s="4">
        <v>0</v>
      </c>
      <c r="M148" s="4">
        <v>-334.18737030533521</v>
      </c>
      <c r="N148" s="4">
        <v>0</v>
      </c>
      <c r="O148" s="4">
        <v>0</v>
      </c>
      <c r="P148" s="4">
        <v>0</v>
      </c>
      <c r="Q148" s="4">
        <v>0</v>
      </c>
      <c r="R148" s="4">
        <v>0</v>
      </c>
      <c r="S148" s="4">
        <v>0</v>
      </c>
      <c r="T148" s="4">
        <v>0</v>
      </c>
      <c r="U148" s="4">
        <v>0</v>
      </c>
      <c r="V148" s="4">
        <v>0</v>
      </c>
      <c r="W148" s="4">
        <v>-351.08971033171287</v>
      </c>
      <c r="X148" s="4">
        <v>-351.08971033171287</v>
      </c>
    </row>
  </sheetData>
  <autoFilter ref="A1:X148" xr:uid="{542F8477-69A0-4FBF-8A92-1318558E8666}">
    <filterColumn colId="3">
      <filters>
        <filter val="Diploma Australia Seals"/>
      </filters>
    </filterColumn>
    <sortState xmlns:xlrd2="http://schemas.microsoft.com/office/spreadsheetml/2017/richdata2" ref="A2:X148">
      <sortCondition descending="1" ref="N1:N14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209D9-FE3F-438E-8C57-1A7B63C7C47C}">
  <dimension ref="A1:E432"/>
  <sheetViews>
    <sheetView topLeftCell="A173" workbookViewId="0">
      <selection activeCell="C197" sqref="C197"/>
    </sheetView>
  </sheetViews>
  <sheetFormatPr defaultRowHeight="14.5" x14ac:dyDescent="0.35"/>
  <cols>
    <col min="1" max="1" width="7.81640625" bestFit="1" customWidth="1"/>
    <col min="2" max="2" width="12.36328125" bestFit="1" customWidth="1"/>
    <col min="3" max="3" width="56.54296875" bestFit="1" customWidth="1"/>
    <col min="4" max="4" width="34" bestFit="1" customWidth="1"/>
    <col min="5" max="5" width="39.6328125" bestFit="1" customWidth="1"/>
  </cols>
  <sheetData>
    <row r="1" spans="1:5" ht="27" x14ac:dyDescent="0.35">
      <c r="A1" s="29" t="s">
        <v>249</v>
      </c>
      <c r="B1" s="29" t="s">
        <v>250</v>
      </c>
      <c r="C1" s="30" t="s">
        <v>251</v>
      </c>
      <c r="D1" s="30" t="s">
        <v>924</v>
      </c>
      <c r="E1" s="30" t="s">
        <v>925</v>
      </c>
    </row>
    <row r="2" spans="1:5" x14ac:dyDescent="0.35">
      <c r="A2" s="31" t="s">
        <v>252</v>
      </c>
      <c r="B2" s="31" t="s">
        <v>45</v>
      </c>
      <c r="C2" s="32" t="s">
        <v>253</v>
      </c>
      <c r="D2" s="36" t="s">
        <v>268</v>
      </c>
      <c r="E2" s="41" t="s">
        <v>358</v>
      </c>
    </row>
    <row r="3" spans="1:5" x14ac:dyDescent="0.35">
      <c r="A3" s="31" t="s">
        <v>252</v>
      </c>
      <c r="B3" s="31" t="s">
        <v>46</v>
      </c>
      <c r="C3" s="33" t="s">
        <v>254</v>
      </c>
      <c r="D3" s="36" t="s">
        <v>268</v>
      </c>
      <c r="E3" s="41" t="s">
        <v>358</v>
      </c>
    </row>
    <row r="4" spans="1:5" x14ac:dyDescent="0.35">
      <c r="A4" s="31" t="s">
        <v>252</v>
      </c>
      <c r="B4" s="31" t="s">
        <v>255</v>
      </c>
      <c r="C4" s="33" t="s">
        <v>256</v>
      </c>
      <c r="D4" s="36" t="s">
        <v>268</v>
      </c>
      <c r="E4" s="41" t="s">
        <v>358</v>
      </c>
    </row>
    <row r="5" spans="1:5" x14ac:dyDescent="0.35">
      <c r="A5" s="31" t="s">
        <v>252</v>
      </c>
      <c r="B5" s="31" t="s">
        <v>257</v>
      </c>
      <c r="C5" s="33" t="s">
        <v>258</v>
      </c>
      <c r="D5" s="36" t="s">
        <v>268</v>
      </c>
      <c r="E5" s="41" t="s">
        <v>358</v>
      </c>
    </row>
    <row r="6" spans="1:5" x14ac:dyDescent="0.35">
      <c r="A6" s="31" t="s">
        <v>252</v>
      </c>
      <c r="B6" s="31" t="s">
        <v>254</v>
      </c>
      <c r="C6" s="34" t="s">
        <v>254</v>
      </c>
      <c r="D6" s="36" t="s">
        <v>268</v>
      </c>
      <c r="E6" s="41" t="s">
        <v>358</v>
      </c>
    </row>
    <row r="7" spans="1:5" x14ac:dyDescent="0.35">
      <c r="A7" s="31" t="s">
        <v>252</v>
      </c>
      <c r="B7" s="31" t="s">
        <v>47</v>
      </c>
      <c r="C7" s="34" t="s">
        <v>259</v>
      </c>
      <c r="D7" s="36" t="s">
        <v>268</v>
      </c>
      <c r="E7" s="41" t="s">
        <v>358</v>
      </c>
    </row>
    <row r="8" spans="1:5" x14ac:dyDescent="0.35">
      <c r="A8" s="31" t="s">
        <v>252</v>
      </c>
      <c r="B8" s="31" t="s">
        <v>260</v>
      </c>
      <c r="C8" s="32" t="s">
        <v>261</v>
      </c>
      <c r="D8" s="36" t="s">
        <v>268</v>
      </c>
      <c r="E8" s="41" t="s">
        <v>358</v>
      </c>
    </row>
    <row r="9" spans="1:5" x14ac:dyDescent="0.35">
      <c r="A9" s="31" t="s">
        <v>252</v>
      </c>
      <c r="B9" s="31" t="s">
        <v>262</v>
      </c>
      <c r="C9" s="35" t="s">
        <v>263</v>
      </c>
      <c r="D9" s="36" t="s">
        <v>268</v>
      </c>
      <c r="E9" s="41" t="s">
        <v>358</v>
      </c>
    </row>
    <row r="10" spans="1:5" x14ac:dyDescent="0.35">
      <c r="A10" s="31" t="s">
        <v>252</v>
      </c>
      <c r="B10" s="31" t="s">
        <v>264</v>
      </c>
      <c r="C10" s="35" t="s">
        <v>265</v>
      </c>
      <c r="D10" s="36" t="s">
        <v>268</v>
      </c>
      <c r="E10" s="41" t="s">
        <v>358</v>
      </c>
    </row>
    <row r="11" spans="1:5" x14ac:dyDescent="0.35">
      <c r="A11" s="31" t="s">
        <v>252</v>
      </c>
      <c r="B11" s="31" t="s">
        <v>229</v>
      </c>
      <c r="C11" s="35" t="s">
        <v>266</v>
      </c>
      <c r="D11" s="36" t="s">
        <v>268</v>
      </c>
      <c r="E11" s="41" t="s">
        <v>358</v>
      </c>
    </row>
    <row r="12" spans="1:5" x14ac:dyDescent="0.35">
      <c r="A12" s="31" t="s">
        <v>252</v>
      </c>
      <c r="B12" s="31" t="s">
        <v>267</v>
      </c>
      <c r="C12" s="36" t="s">
        <v>268</v>
      </c>
      <c r="D12" s="36" t="s">
        <v>268</v>
      </c>
      <c r="E12" s="41" t="s">
        <v>358</v>
      </c>
    </row>
    <row r="13" spans="1:5" x14ac:dyDescent="0.35">
      <c r="A13" s="31" t="s">
        <v>269</v>
      </c>
      <c r="B13" s="31" t="s">
        <v>74</v>
      </c>
      <c r="C13" s="34" t="s">
        <v>270</v>
      </c>
      <c r="D13" s="36" t="s">
        <v>291</v>
      </c>
      <c r="E13" s="41" t="s">
        <v>358</v>
      </c>
    </row>
    <row r="14" spans="1:5" x14ac:dyDescent="0.35">
      <c r="A14" s="31" t="s">
        <v>269</v>
      </c>
      <c r="B14" s="31" t="s">
        <v>271</v>
      </c>
      <c r="C14" s="34" t="s">
        <v>272</v>
      </c>
      <c r="D14" s="36" t="s">
        <v>291</v>
      </c>
      <c r="E14" s="41" t="s">
        <v>358</v>
      </c>
    </row>
    <row r="15" spans="1:5" x14ac:dyDescent="0.35">
      <c r="A15" s="31" t="s">
        <v>269</v>
      </c>
      <c r="B15" s="31" t="s">
        <v>273</v>
      </c>
      <c r="C15" s="32" t="s">
        <v>270</v>
      </c>
      <c r="D15" s="36" t="s">
        <v>291</v>
      </c>
      <c r="E15" s="41" t="s">
        <v>358</v>
      </c>
    </row>
    <row r="16" spans="1:5" x14ac:dyDescent="0.35">
      <c r="A16" s="31" t="s">
        <v>269</v>
      </c>
      <c r="B16" s="31" t="s">
        <v>274</v>
      </c>
      <c r="C16" s="32" t="s">
        <v>275</v>
      </c>
      <c r="D16" s="36" t="s">
        <v>291</v>
      </c>
      <c r="E16" s="41" t="s">
        <v>358</v>
      </c>
    </row>
    <row r="17" spans="1:5" x14ac:dyDescent="0.35">
      <c r="A17" s="31" t="s">
        <v>269</v>
      </c>
      <c r="B17" s="31" t="s">
        <v>276</v>
      </c>
      <c r="C17" s="32" t="s">
        <v>277</v>
      </c>
      <c r="D17" s="36" t="s">
        <v>291</v>
      </c>
      <c r="E17" s="41" t="s">
        <v>358</v>
      </c>
    </row>
    <row r="18" spans="1:5" x14ac:dyDescent="0.35">
      <c r="A18" s="31" t="s">
        <v>269</v>
      </c>
      <c r="B18" s="31" t="s">
        <v>51</v>
      </c>
      <c r="C18" s="32" t="s">
        <v>278</v>
      </c>
      <c r="D18" s="36" t="s">
        <v>291</v>
      </c>
      <c r="E18" s="41" t="s">
        <v>358</v>
      </c>
    </row>
    <row r="19" spans="1:5" x14ac:dyDescent="0.35">
      <c r="A19" s="31" t="s">
        <v>269</v>
      </c>
      <c r="B19" s="31" t="s">
        <v>279</v>
      </c>
      <c r="C19" s="35" t="s">
        <v>280</v>
      </c>
      <c r="D19" s="36" t="s">
        <v>291</v>
      </c>
      <c r="E19" s="41" t="s">
        <v>358</v>
      </c>
    </row>
    <row r="20" spans="1:5" x14ac:dyDescent="0.35">
      <c r="A20" s="31" t="s">
        <v>281</v>
      </c>
      <c r="B20" s="31" t="s">
        <v>109</v>
      </c>
      <c r="C20" s="32" t="s">
        <v>282</v>
      </c>
      <c r="D20" s="36" t="s">
        <v>291</v>
      </c>
      <c r="E20" s="41" t="s">
        <v>358</v>
      </c>
    </row>
    <row r="21" spans="1:5" x14ac:dyDescent="0.35">
      <c r="A21" s="31" t="s">
        <v>281</v>
      </c>
      <c r="B21" s="31" t="s">
        <v>283</v>
      </c>
      <c r="C21" s="32" t="s">
        <v>284</v>
      </c>
      <c r="D21" s="36" t="s">
        <v>291</v>
      </c>
      <c r="E21" s="41" t="s">
        <v>358</v>
      </c>
    </row>
    <row r="22" spans="1:5" x14ac:dyDescent="0.35">
      <c r="A22" s="31" t="s">
        <v>281</v>
      </c>
      <c r="B22" s="31" t="s">
        <v>285</v>
      </c>
      <c r="C22" s="32" t="s">
        <v>286</v>
      </c>
      <c r="D22" s="36" t="s">
        <v>291</v>
      </c>
      <c r="E22" s="41" t="s">
        <v>358</v>
      </c>
    </row>
    <row r="23" spans="1:5" x14ac:dyDescent="0.35">
      <c r="A23" s="31" t="s">
        <v>281</v>
      </c>
      <c r="B23" s="31" t="s">
        <v>52</v>
      </c>
      <c r="C23" s="32" t="s">
        <v>287</v>
      </c>
      <c r="D23" s="36" t="s">
        <v>291</v>
      </c>
      <c r="E23" s="41" t="s">
        <v>358</v>
      </c>
    </row>
    <row r="24" spans="1:5" x14ac:dyDescent="0.35">
      <c r="A24" s="31" t="s">
        <v>281</v>
      </c>
      <c r="B24" s="31" t="s">
        <v>288</v>
      </c>
      <c r="C24" s="35" t="s">
        <v>289</v>
      </c>
      <c r="D24" s="36" t="s">
        <v>291</v>
      </c>
      <c r="E24" s="41" t="s">
        <v>358</v>
      </c>
    </row>
    <row r="25" spans="1:5" x14ac:dyDescent="0.35">
      <c r="A25" s="31" t="s">
        <v>269</v>
      </c>
      <c r="B25" s="31" t="s">
        <v>290</v>
      </c>
      <c r="C25" s="36" t="s">
        <v>291</v>
      </c>
      <c r="D25" s="36" t="s">
        <v>291</v>
      </c>
      <c r="E25" s="41" t="s">
        <v>358</v>
      </c>
    </row>
    <row r="26" spans="1:5" x14ac:dyDescent="0.35">
      <c r="A26" s="31" t="s">
        <v>292</v>
      </c>
      <c r="B26" s="31" t="s">
        <v>48</v>
      </c>
      <c r="C26" s="32" t="s">
        <v>293</v>
      </c>
      <c r="D26" s="35" t="s">
        <v>300</v>
      </c>
      <c r="E26" s="41" t="s">
        <v>358</v>
      </c>
    </row>
    <row r="27" spans="1:5" x14ac:dyDescent="0.35">
      <c r="A27" s="31" t="s">
        <v>292</v>
      </c>
      <c r="B27" s="31" t="s">
        <v>76</v>
      </c>
      <c r="C27" s="34" t="s">
        <v>294</v>
      </c>
      <c r="D27" s="35" t="s">
        <v>300</v>
      </c>
      <c r="E27" s="41" t="s">
        <v>358</v>
      </c>
    </row>
    <row r="28" spans="1:5" x14ac:dyDescent="0.35">
      <c r="A28" s="31" t="s">
        <v>295</v>
      </c>
      <c r="B28" s="31" t="s">
        <v>77</v>
      </c>
      <c r="C28" s="34" t="s">
        <v>296</v>
      </c>
      <c r="D28" s="35" t="s">
        <v>300</v>
      </c>
      <c r="E28" s="41" t="s">
        <v>358</v>
      </c>
    </row>
    <row r="29" spans="1:5" x14ac:dyDescent="0.35">
      <c r="A29" s="31" t="s">
        <v>292</v>
      </c>
      <c r="B29" s="31" t="s">
        <v>297</v>
      </c>
      <c r="C29" s="32" t="s">
        <v>298</v>
      </c>
      <c r="D29" s="35" t="s">
        <v>300</v>
      </c>
      <c r="E29" s="41" t="s">
        <v>358</v>
      </c>
    </row>
    <row r="30" spans="1:5" x14ac:dyDescent="0.35">
      <c r="A30" s="31" t="s">
        <v>292</v>
      </c>
      <c r="B30" s="31" t="s">
        <v>299</v>
      </c>
      <c r="C30" s="35" t="s">
        <v>300</v>
      </c>
      <c r="D30" s="35" t="s">
        <v>300</v>
      </c>
      <c r="E30" s="41" t="s">
        <v>358</v>
      </c>
    </row>
    <row r="31" spans="1:5" x14ac:dyDescent="0.35">
      <c r="A31" s="31" t="s">
        <v>301</v>
      </c>
      <c r="B31" s="31" t="s">
        <v>49</v>
      </c>
      <c r="C31" s="34" t="s">
        <v>302</v>
      </c>
      <c r="D31" s="35" t="s">
        <v>315</v>
      </c>
      <c r="E31" s="41" t="s">
        <v>358</v>
      </c>
    </row>
    <row r="32" spans="1:5" x14ac:dyDescent="0.35">
      <c r="A32" s="31" t="s">
        <v>303</v>
      </c>
      <c r="B32" s="31" t="s">
        <v>50</v>
      </c>
      <c r="C32" s="34" t="s">
        <v>304</v>
      </c>
      <c r="D32" s="35" t="s">
        <v>315</v>
      </c>
      <c r="E32" s="41" t="s">
        <v>358</v>
      </c>
    </row>
    <row r="33" spans="1:5" x14ac:dyDescent="0.35">
      <c r="A33" s="31" t="s">
        <v>301</v>
      </c>
      <c r="B33" s="31" t="s">
        <v>305</v>
      </c>
      <c r="C33" s="32" t="s">
        <v>306</v>
      </c>
      <c r="D33" s="35" t="s">
        <v>315</v>
      </c>
      <c r="E33" s="41" t="s">
        <v>358</v>
      </c>
    </row>
    <row r="34" spans="1:5" x14ac:dyDescent="0.35">
      <c r="A34" s="31" t="s">
        <v>301</v>
      </c>
      <c r="B34" s="31" t="s">
        <v>8</v>
      </c>
      <c r="C34" s="34" t="s">
        <v>307</v>
      </c>
      <c r="D34" s="35" t="s">
        <v>315</v>
      </c>
      <c r="E34" s="41" t="s">
        <v>358</v>
      </c>
    </row>
    <row r="35" spans="1:5" x14ac:dyDescent="0.35">
      <c r="A35" s="31" t="s">
        <v>303</v>
      </c>
      <c r="B35" s="31" t="s">
        <v>12</v>
      </c>
      <c r="C35" s="34" t="s">
        <v>308</v>
      </c>
      <c r="D35" s="35" t="s">
        <v>315</v>
      </c>
      <c r="E35" s="41" t="s">
        <v>358</v>
      </c>
    </row>
    <row r="36" spans="1:5" x14ac:dyDescent="0.35">
      <c r="A36" s="31" t="s">
        <v>309</v>
      </c>
      <c r="B36" s="31" t="s">
        <v>10</v>
      </c>
      <c r="C36" s="34" t="s">
        <v>310</v>
      </c>
      <c r="D36" s="35" t="s">
        <v>315</v>
      </c>
      <c r="E36" s="41" t="s">
        <v>358</v>
      </c>
    </row>
    <row r="37" spans="1:5" x14ac:dyDescent="0.35">
      <c r="A37" s="31" t="s">
        <v>301</v>
      </c>
      <c r="B37" s="31" t="s">
        <v>311</v>
      </c>
      <c r="C37" s="32" t="s">
        <v>312</v>
      </c>
      <c r="D37" s="35" t="s">
        <v>315</v>
      </c>
      <c r="E37" s="41" t="s">
        <v>358</v>
      </c>
    </row>
    <row r="38" spans="1:5" x14ac:dyDescent="0.35">
      <c r="A38" s="31" t="s">
        <v>303</v>
      </c>
      <c r="B38" s="31" t="s">
        <v>75</v>
      </c>
      <c r="C38" s="32" t="s">
        <v>313</v>
      </c>
      <c r="D38" s="35" t="s">
        <v>315</v>
      </c>
      <c r="E38" s="41" t="s">
        <v>358</v>
      </c>
    </row>
    <row r="39" spans="1:5" x14ac:dyDescent="0.35">
      <c r="A39" s="31" t="s">
        <v>301</v>
      </c>
      <c r="B39" s="31" t="s">
        <v>314</v>
      </c>
      <c r="C39" s="35" t="s">
        <v>315</v>
      </c>
      <c r="D39" s="35" t="s">
        <v>315</v>
      </c>
      <c r="E39" s="41" t="s">
        <v>358</v>
      </c>
    </row>
    <row r="40" spans="1:5" x14ac:dyDescent="0.35">
      <c r="A40" s="31" t="s">
        <v>252</v>
      </c>
      <c r="B40" s="31" t="s">
        <v>316</v>
      </c>
      <c r="C40" s="35" t="s">
        <v>317</v>
      </c>
      <c r="D40" s="36" t="s">
        <v>319</v>
      </c>
      <c r="E40" s="41" t="s">
        <v>358</v>
      </c>
    </row>
    <row r="41" spans="1:5" x14ac:dyDescent="0.35">
      <c r="A41" s="31" t="s">
        <v>292</v>
      </c>
      <c r="B41" s="31" t="s">
        <v>318</v>
      </c>
      <c r="C41" s="36" t="s">
        <v>319</v>
      </c>
      <c r="D41" s="36" t="s">
        <v>319</v>
      </c>
      <c r="E41" s="41" t="s">
        <v>358</v>
      </c>
    </row>
    <row r="42" spans="1:5" ht="20" x14ac:dyDescent="0.35">
      <c r="A42" s="37" t="s">
        <v>295</v>
      </c>
      <c r="B42" s="37" t="s">
        <v>320</v>
      </c>
      <c r="C42" s="38" t="s">
        <v>321</v>
      </c>
      <c r="D42" s="41" t="s">
        <v>358</v>
      </c>
      <c r="E42" s="41" t="s">
        <v>358</v>
      </c>
    </row>
    <row r="43" spans="1:5" x14ac:dyDescent="0.35">
      <c r="A43" s="31" t="s">
        <v>252</v>
      </c>
      <c r="B43" s="31" t="s">
        <v>117</v>
      </c>
      <c r="C43" s="36" t="s">
        <v>322</v>
      </c>
      <c r="D43" s="41" t="s">
        <v>358</v>
      </c>
      <c r="E43" s="41" t="s">
        <v>358</v>
      </c>
    </row>
    <row r="44" spans="1:5" x14ac:dyDescent="0.35">
      <c r="A44" s="31" t="s">
        <v>295</v>
      </c>
      <c r="B44" s="31" t="s">
        <v>147</v>
      </c>
      <c r="C44" s="36" t="s">
        <v>323</v>
      </c>
      <c r="D44" s="41" t="s">
        <v>358</v>
      </c>
      <c r="E44" s="41" t="s">
        <v>358</v>
      </c>
    </row>
    <row r="45" spans="1:5" x14ac:dyDescent="0.35">
      <c r="A45" s="31" t="s">
        <v>324</v>
      </c>
      <c r="B45" s="31" t="s">
        <v>163</v>
      </c>
      <c r="C45" s="36" t="s">
        <v>325</v>
      </c>
      <c r="D45" s="41" t="s">
        <v>358</v>
      </c>
      <c r="E45" s="41" t="s">
        <v>358</v>
      </c>
    </row>
    <row r="46" spans="1:5" x14ac:dyDescent="0.35">
      <c r="A46" s="31" t="s">
        <v>252</v>
      </c>
      <c r="B46" s="31" t="s">
        <v>228</v>
      </c>
      <c r="C46" s="36" t="s">
        <v>326</v>
      </c>
      <c r="D46" s="41" t="s">
        <v>358</v>
      </c>
      <c r="E46" s="41" t="s">
        <v>358</v>
      </c>
    </row>
    <row r="47" spans="1:5" ht="20" x14ac:dyDescent="0.35">
      <c r="A47" s="37" t="s">
        <v>252</v>
      </c>
      <c r="B47" s="37" t="s">
        <v>327</v>
      </c>
      <c r="C47" s="38" t="s">
        <v>328</v>
      </c>
      <c r="D47" s="41" t="s">
        <v>358</v>
      </c>
      <c r="E47" s="41" t="s">
        <v>358</v>
      </c>
    </row>
    <row r="48" spans="1:5" x14ac:dyDescent="0.35">
      <c r="A48" s="31" t="s">
        <v>295</v>
      </c>
      <c r="B48" s="31" t="s">
        <v>329</v>
      </c>
      <c r="C48" s="39" t="s">
        <v>330</v>
      </c>
      <c r="D48" s="41" t="s">
        <v>358</v>
      </c>
      <c r="E48" s="41" t="s">
        <v>358</v>
      </c>
    </row>
    <row r="49" spans="1:5" x14ac:dyDescent="0.35">
      <c r="A49" s="31" t="s">
        <v>295</v>
      </c>
      <c r="B49" s="31" t="s">
        <v>331</v>
      </c>
      <c r="C49" s="35" t="s">
        <v>332</v>
      </c>
      <c r="D49" s="41" t="s">
        <v>358</v>
      </c>
      <c r="E49" s="41" t="s">
        <v>358</v>
      </c>
    </row>
    <row r="50" spans="1:5" x14ac:dyDescent="0.35">
      <c r="A50" s="31" t="s">
        <v>295</v>
      </c>
      <c r="B50" s="31" t="s">
        <v>333</v>
      </c>
      <c r="C50" s="35" t="s">
        <v>334</v>
      </c>
      <c r="D50" s="41" t="s">
        <v>358</v>
      </c>
      <c r="E50" s="41" t="s">
        <v>358</v>
      </c>
    </row>
    <row r="51" spans="1:5" x14ac:dyDescent="0.35">
      <c r="A51" s="31" t="s">
        <v>295</v>
      </c>
      <c r="B51" s="31" t="s">
        <v>332</v>
      </c>
      <c r="C51" s="36" t="s">
        <v>332</v>
      </c>
      <c r="D51" s="41" t="s">
        <v>358</v>
      </c>
      <c r="E51" s="41" t="s">
        <v>358</v>
      </c>
    </row>
    <row r="52" spans="1:5" x14ac:dyDescent="0.35">
      <c r="A52" s="31" t="s">
        <v>295</v>
      </c>
      <c r="B52" s="31" t="s">
        <v>335</v>
      </c>
      <c r="C52" s="36" t="s">
        <v>336</v>
      </c>
      <c r="D52" s="41" t="s">
        <v>358</v>
      </c>
      <c r="E52" s="41" t="s">
        <v>358</v>
      </c>
    </row>
    <row r="53" spans="1:5" x14ac:dyDescent="0.35">
      <c r="A53" s="31" t="s">
        <v>295</v>
      </c>
      <c r="B53" s="31" t="s">
        <v>337</v>
      </c>
      <c r="C53" s="40" t="s">
        <v>338</v>
      </c>
      <c r="D53" s="41" t="s">
        <v>358</v>
      </c>
      <c r="E53" s="41" t="s">
        <v>358</v>
      </c>
    </row>
    <row r="54" spans="1:5" x14ac:dyDescent="0.35">
      <c r="A54" s="31" t="s">
        <v>292</v>
      </c>
      <c r="B54" s="31" t="s">
        <v>24</v>
      </c>
      <c r="C54" s="35" t="s">
        <v>339</v>
      </c>
      <c r="D54" s="41" t="s">
        <v>358</v>
      </c>
      <c r="E54" s="41" t="s">
        <v>358</v>
      </c>
    </row>
    <row r="55" spans="1:5" x14ac:dyDescent="0.35">
      <c r="A55" s="31" t="s">
        <v>340</v>
      </c>
      <c r="B55" s="31" t="s">
        <v>341</v>
      </c>
      <c r="C55" s="35" t="s">
        <v>342</v>
      </c>
      <c r="D55" s="41" t="s">
        <v>358</v>
      </c>
      <c r="E55" s="41" t="s">
        <v>358</v>
      </c>
    </row>
    <row r="56" spans="1:5" x14ac:dyDescent="0.35">
      <c r="A56" s="31" t="s">
        <v>295</v>
      </c>
      <c r="B56" s="31" t="s">
        <v>343</v>
      </c>
      <c r="C56" s="35" t="s">
        <v>344</v>
      </c>
      <c r="D56" s="41" t="s">
        <v>358</v>
      </c>
      <c r="E56" s="41" t="s">
        <v>358</v>
      </c>
    </row>
    <row r="57" spans="1:5" x14ac:dyDescent="0.35">
      <c r="A57" s="31" t="s">
        <v>295</v>
      </c>
      <c r="B57" s="31" t="s">
        <v>25</v>
      </c>
      <c r="C57" s="35" t="s">
        <v>345</v>
      </c>
      <c r="D57" s="41" t="s">
        <v>358</v>
      </c>
      <c r="E57" s="41" t="s">
        <v>358</v>
      </c>
    </row>
    <row r="58" spans="1:5" x14ac:dyDescent="0.35">
      <c r="A58" s="31" t="s">
        <v>292</v>
      </c>
      <c r="B58" s="31" t="s">
        <v>346</v>
      </c>
      <c r="C58" s="36" t="s">
        <v>347</v>
      </c>
      <c r="D58" s="41" t="s">
        <v>358</v>
      </c>
      <c r="E58" s="41" t="s">
        <v>358</v>
      </c>
    </row>
    <row r="59" spans="1:5" x14ac:dyDescent="0.35">
      <c r="A59" s="31" t="s">
        <v>292</v>
      </c>
      <c r="B59" s="31" t="s">
        <v>348</v>
      </c>
      <c r="C59" s="36" t="s">
        <v>349</v>
      </c>
      <c r="D59" s="41" t="s">
        <v>358</v>
      </c>
      <c r="E59" s="41" t="s">
        <v>358</v>
      </c>
    </row>
    <row r="60" spans="1:5" x14ac:dyDescent="0.35">
      <c r="A60" s="31" t="s">
        <v>292</v>
      </c>
      <c r="B60" s="31" t="s">
        <v>350</v>
      </c>
      <c r="C60" s="40" t="s">
        <v>347</v>
      </c>
      <c r="D60" s="41" t="s">
        <v>358</v>
      </c>
      <c r="E60" s="41" t="s">
        <v>358</v>
      </c>
    </row>
    <row r="61" spans="1:5" x14ac:dyDescent="0.35">
      <c r="A61" s="31" t="s">
        <v>295</v>
      </c>
      <c r="B61" s="31" t="s">
        <v>351</v>
      </c>
      <c r="C61" s="39" t="s">
        <v>352</v>
      </c>
      <c r="D61" s="41" t="s">
        <v>358</v>
      </c>
      <c r="E61" s="41" t="s">
        <v>358</v>
      </c>
    </row>
    <row r="62" spans="1:5" x14ac:dyDescent="0.35">
      <c r="A62" s="31" t="s">
        <v>295</v>
      </c>
      <c r="B62" s="31" t="s">
        <v>353</v>
      </c>
      <c r="C62" s="39" t="s">
        <v>354</v>
      </c>
      <c r="D62" s="41" t="s">
        <v>358</v>
      </c>
      <c r="E62" s="41" t="s">
        <v>358</v>
      </c>
    </row>
    <row r="63" spans="1:5" x14ac:dyDescent="0.35">
      <c r="A63" s="31" t="s">
        <v>295</v>
      </c>
      <c r="B63" s="31" t="s">
        <v>355</v>
      </c>
      <c r="C63" s="39" t="s">
        <v>356</v>
      </c>
      <c r="D63" s="41" t="s">
        <v>358</v>
      </c>
      <c r="E63" s="41" t="s">
        <v>358</v>
      </c>
    </row>
    <row r="64" spans="1:5" x14ac:dyDescent="0.35">
      <c r="A64" s="31" t="s">
        <v>295</v>
      </c>
      <c r="B64" s="31" t="s">
        <v>357</v>
      </c>
      <c r="C64" s="41" t="s">
        <v>358</v>
      </c>
      <c r="D64" s="41" t="s">
        <v>358</v>
      </c>
      <c r="E64" s="41" t="s">
        <v>358</v>
      </c>
    </row>
    <row r="65" spans="1:5" x14ac:dyDescent="0.35">
      <c r="A65" s="31" t="s">
        <v>324</v>
      </c>
      <c r="B65" s="31" t="s">
        <v>69</v>
      </c>
      <c r="C65" s="35" t="s">
        <v>359</v>
      </c>
      <c r="D65" s="40" t="s">
        <v>363</v>
      </c>
      <c r="E65" s="39" t="s">
        <v>418</v>
      </c>
    </row>
    <row r="66" spans="1:5" x14ac:dyDescent="0.35">
      <c r="A66" s="31" t="s">
        <v>324</v>
      </c>
      <c r="B66" s="31" t="s">
        <v>70</v>
      </c>
      <c r="C66" s="35" t="s">
        <v>360</v>
      </c>
      <c r="D66" s="40" t="s">
        <v>363</v>
      </c>
      <c r="E66" s="39" t="s">
        <v>418</v>
      </c>
    </row>
    <row r="67" spans="1:5" x14ac:dyDescent="0.35">
      <c r="A67" s="31" t="s">
        <v>324</v>
      </c>
      <c r="B67" s="31" t="s">
        <v>361</v>
      </c>
      <c r="C67" s="36" t="s">
        <v>359</v>
      </c>
      <c r="D67" s="40" t="s">
        <v>363</v>
      </c>
      <c r="E67" s="39" t="s">
        <v>418</v>
      </c>
    </row>
    <row r="68" spans="1:5" x14ac:dyDescent="0.35">
      <c r="A68" s="31" t="s">
        <v>324</v>
      </c>
      <c r="B68" s="31" t="s">
        <v>20</v>
      </c>
      <c r="C68" s="36" t="s">
        <v>362</v>
      </c>
      <c r="D68" s="40" t="s">
        <v>363</v>
      </c>
      <c r="E68" s="39" t="s">
        <v>418</v>
      </c>
    </row>
    <row r="69" spans="1:5" x14ac:dyDescent="0.35">
      <c r="A69" s="31" t="s">
        <v>324</v>
      </c>
      <c r="B69" s="31" t="s">
        <v>359</v>
      </c>
      <c r="C69" s="40" t="s">
        <v>363</v>
      </c>
      <c r="D69" s="40" t="s">
        <v>363</v>
      </c>
      <c r="E69" s="39" t="s">
        <v>418</v>
      </c>
    </row>
    <row r="70" spans="1:5" x14ac:dyDescent="0.35">
      <c r="A70" s="31" t="s">
        <v>324</v>
      </c>
      <c r="B70" s="31" t="s">
        <v>101</v>
      </c>
      <c r="C70" s="34" t="s">
        <v>364</v>
      </c>
      <c r="D70" s="40" t="s">
        <v>388</v>
      </c>
      <c r="E70" s="39" t="s">
        <v>418</v>
      </c>
    </row>
    <row r="71" spans="1:5" x14ac:dyDescent="0.35">
      <c r="A71" s="31" t="s">
        <v>324</v>
      </c>
      <c r="B71" s="31" t="s">
        <v>54</v>
      </c>
      <c r="C71" s="34" t="s">
        <v>365</v>
      </c>
      <c r="D71" s="40" t="s">
        <v>388</v>
      </c>
      <c r="E71" s="39" t="s">
        <v>418</v>
      </c>
    </row>
    <row r="72" spans="1:5" x14ac:dyDescent="0.35">
      <c r="A72" s="31" t="s">
        <v>324</v>
      </c>
      <c r="B72" s="31" t="s">
        <v>166</v>
      </c>
      <c r="C72" s="34" t="s">
        <v>366</v>
      </c>
      <c r="D72" s="40" t="s">
        <v>388</v>
      </c>
      <c r="E72" s="39" t="s">
        <v>418</v>
      </c>
    </row>
    <row r="73" spans="1:5" x14ac:dyDescent="0.35">
      <c r="A73" s="31" t="s">
        <v>324</v>
      </c>
      <c r="B73" s="31" t="s">
        <v>367</v>
      </c>
      <c r="C73" s="32" t="s">
        <v>368</v>
      </c>
      <c r="D73" s="40" t="s">
        <v>388</v>
      </c>
      <c r="E73" s="39" t="s">
        <v>418</v>
      </c>
    </row>
    <row r="74" spans="1:5" x14ac:dyDescent="0.35">
      <c r="A74" s="31" t="s">
        <v>324</v>
      </c>
      <c r="B74" s="31" t="s">
        <v>369</v>
      </c>
      <c r="C74" s="32" t="s">
        <v>370</v>
      </c>
      <c r="D74" s="40" t="s">
        <v>388</v>
      </c>
      <c r="E74" s="39" t="s">
        <v>418</v>
      </c>
    </row>
    <row r="75" spans="1:5" x14ac:dyDescent="0.35">
      <c r="A75" s="31" t="s">
        <v>324</v>
      </c>
      <c r="B75" s="31" t="s">
        <v>371</v>
      </c>
      <c r="C75" s="32" t="s">
        <v>372</v>
      </c>
      <c r="D75" s="40" t="s">
        <v>388</v>
      </c>
      <c r="E75" s="39" t="s">
        <v>418</v>
      </c>
    </row>
    <row r="76" spans="1:5" x14ac:dyDescent="0.35">
      <c r="A76" s="31" t="s">
        <v>324</v>
      </c>
      <c r="B76" s="31" t="s">
        <v>373</v>
      </c>
      <c r="C76" s="35" t="s">
        <v>368</v>
      </c>
      <c r="D76" s="40" t="s">
        <v>388</v>
      </c>
      <c r="E76" s="39" t="s">
        <v>418</v>
      </c>
    </row>
    <row r="77" spans="1:5" x14ac:dyDescent="0.35">
      <c r="A77" s="31" t="s">
        <v>252</v>
      </c>
      <c r="B77" s="31" t="s">
        <v>55</v>
      </c>
      <c r="C77" s="32" t="s">
        <v>374</v>
      </c>
      <c r="D77" s="40" t="s">
        <v>388</v>
      </c>
      <c r="E77" s="39" t="s">
        <v>418</v>
      </c>
    </row>
    <row r="78" spans="1:5" x14ac:dyDescent="0.35">
      <c r="A78" s="31" t="s">
        <v>252</v>
      </c>
      <c r="B78" s="31" t="s">
        <v>56</v>
      </c>
      <c r="C78" s="32" t="s">
        <v>375</v>
      </c>
      <c r="D78" s="40" t="s">
        <v>388</v>
      </c>
      <c r="E78" s="39" t="s">
        <v>418</v>
      </c>
    </row>
    <row r="79" spans="1:5" x14ac:dyDescent="0.35">
      <c r="A79" s="31" t="s">
        <v>252</v>
      </c>
      <c r="B79" s="31" t="s">
        <v>376</v>
      </c>
      <c r="C79" s="32" t="s">
        <v>377</v>
      </c>
      <c r="D79" s="40" t="s">
        <v>388</v>
      </c>
      <c r="E79" s="39" t="s">
        <v>418</v>
      </c>
    </row>
    <row r="80" spans="1:5" x14ac:dyDescent="0.35">
      <c r="A80" s="31" t="s">
        <v>252</v>
      </c>
      <c r="B80" s="31" t="s">
        <v>378</v>
      </c>
      <c r="C80" s="32" t="s">
        <v>379</v>
      </c>
      <c r="D80" s="40" t="s">
        <v>388</v>
      </c>
      <c r="E80" s="39" t="s">
        <v>418</v>
      </c>
    </row>
    <row r="81" spans="1:5" x14ac:dyDescent="0.35">
      <c r="A81" s="31" t="s">
        <v>252</v>
      </c>
      <c r="B81" s="31" t="s">
        <v>380</v>
      </c>
      <c r="C81" s="32" t="s">
        <v>381</v>
      </c>
      <c r="D81" s="40" t="s">
        <v>388</v>
      </c>
      <c r="E81" s="39" t="s">
        <v>418</v>
      </c>
    </row>
    <row r="82" spans="1:5" x14ac:dyDescent="0.35">
      <c r="A82" s="31" t="s">
        <v>252</v>
      </c>
      <c r="B82" s="31" t="s">
        <v>382</v>
      </c>
      <c r="C82" s="35" t="s">
        <v>383</v>
      </c>
      <c r="D82" s="40" t="s">
        <v>388</v>
      </c>
      <c r="E82" s="39" t="s">
        <v>418</v>
      </c>
    </row>
    <row r="83" spans="1:5" x14ac:dyDescent="0.35">
      <c r="A83" s="31" t="s">
        <v>324</v>
      </c>
      <c r="B83" s="31" t="s">
        <v>384</v>
      </c>
      <c r="C83" s="36" t="s">
        <v>385</v>
      </c>
      <c r="D83" s="40" t="s">
        <v>388</v>
      </c>
      <c r="E83" s="39" t="s">
        <v>418</v>
      </c>
    </row>
    <row r="84" spans="1:5" x14ac:dyDescent="0.35">
      <c r="A84" s="31" t="s">
        <v>324</v>
      </c>
      <c r="B84" s="31" t="s">
        <v>58</v>
      </c>
      <c r="C84" s="36" t="s">
        <v>386</v>
      </c>
      <c r="D84" s="40" t="s">
        <v>388</v>
      </c>
      <c r="E84" s="39" t="s">
        <v>418</v>
      </c>
    </row>
    <row r="85" spans="1:5" x14ac:dyDescent="0.35">
      <c r="A85" s="31" t="s">
        <v>324</v>
      </c>
      <c r="B85" s="31" t="s">
        <v>387</v>
      </c>
      <c r="C85" s="40" t="s">
        <v>388</v>
      </c>
      <c r="D85" s="40" t="s">
        <v>388</v>
      </c>
      <c r="E85" s="39" t="s">
        <v>418</v>
      </c>
    </row>
    <row r="86" spans="1:5" x14ac:dyDescent="0.35">
      <c r="A86" s="31" t="s">
        <v>324</v>
      </c>
      <c r="B86" s="31" t="s">
        <v>53</v>
      </c>
      <c r="C86" s="36" t="s">
        <v>389</v>
      </c>
      <c r="D86" s="40" t="s">
        <v>407</v>
      </c>
      <c r="E86" s="39" t="s">
        <v>418</v>
      </c>
    </row>
    <row r="87" spans="1:5" x14ac:dyDescent="0.35">
      <c r="A87" s="31" t="s">
        <v>324</v>
      </c>
      <c r="B87" s="31" t="s">
        <v>390</v>
      </c>
      <c r="C87" s="35" t="s">
        <v>391</v>
      </c>
      <c r="D87" s="40" t="s">
        <v>407</v>
      </c>
      <c r="E87" s="39" t="s">
        <v>418</v>
      </c>
    </row>
    <row r="88" spans="1:5" x14ac:dyDescent="0.35">
      <c r="A88" s="31" t="s">
        <v>324</v>
      </c>
      <c r="B88" s="31" t="s">
        <v>392</v>
      </c>
      <c r="C88" s="35" t="s">
        <v>393</v>
      </c>
      <c r="D88" s="40" t="s">
        <v>407</v>
      </c>
      <c r="E88" s="39" t="s">
        <v>418</v>
      </c>
    </row>
    <row r="89" spans="1:5" x14ac:dyDescent="0.35">
      <c r="A89" s="31" t="s">
        <v>324</v>
      </c>
      <c r="B89" s="31" t="s">
        <v>394</v>
      </c>
      <c r="C89" s="36" t="s">
        <v>395</v>
      </c>
      <c r="D89" s="40" t="s">
        <v>407</v>
      </c>
      <c r="E89" s="39" t="s">
        <v>418</v>
      </c>
    </row>
    <row r="90" spans="1:5" x14ac:dyDescent="0.35">
      <c r="A90" s="31" t="s">
        <v>324</v>
      </c>
      <c r="B90" s="31" t="s">
        <v>396</v>
      </c>
      <c r="C90" s="35" t="s">
        <v>397</v>
      </c>
      <c r="D90" s="40" t="s">
        <v>407</v>
      </c>
      <c r="E90" s="39" t="s">
        <v>418</v>
      </c>
    </row>
    <row r="91" spans="1:5" x14ac:dyDescent="0.35">
      <c r="A91" s="31" t="s">
        <v>324</v>
      </c>
      <c r="B91" s="31" t="s">
        <v>398</v>
      </c>
      <c r="C91" s="32" t="s">
        <v>399</v>
      </c>
      <c r="D91" s="40" t="s">
        <v>407</v>
      </c>
      <c r="E91" s="39" t="s">
        <v>418</v>
      </c>
    </row>
    <row r="92" spans="1:5" x14ac:dyDescent="0.35">
      <c r="A92" s="31" t="s">
        <v>324</v>
      </c>
      <c r="B92" s="31" t="s">
        <v>400</v>
      </c>
      <c r="C92" s="32" t="s">
        <v>401</v>
      </c>
      <c r="D92" s="40" t="s">
        <v>407</v>
      </c>
      <c r="E92" s="39" t="s">
        <v>418</v>
      </c>
    </row>
    <row r="93" spans="1:5" x14ac:dyDescent="0.35">
      <c r="A93" s="31" t="s">
        <v>324</v>
      </c>
      <c r="B93" s="31" t="s">
        <v>402</v>
      </c>
      <c r="C93" s="35" t="s">
        <v>402</v>
      </c>
      <c r="D93" s="40" t="s">
        <v>407</v>
      </c>
      <c r="E93" s="39" t="s">
        <v>418</v>
      </c>
    </row>
    <row r="94" spans="1:5" x14ac:dyDescent="0.35">
      <c r="A94" s="31" t="s">
        <v>324</v>
      </c>
      <c r="B94" s="31" t="s">
        <v>403</v>
      </c>
      <c r="C94" s="36" t="s">
        <v>404</v>
      </c>
      <c r="D94" s="40" t="s">
        <v>407</v>
      </c>
      <c r="E94" s="39" t="s">
        <v>418</v>
      </c>
    </row>
    <row r="95" spans="1:5" x14ac:dyDescent="0.35">
      <c r="A95" s="31" t="s">
        <v>324</v>
      </c>
      <c r="B95" s="31" t="s">
        <v>405</v>
      </c>
      <c r="C95" s="36" t="s">
        <v>406</v>
      </c>
      <c r="D95" s="40" t="s">
        <v>407</v>
      </c>
      <c r="E95" s="39" t="s">
        <v>418</v>
      </c>
    </row>
    <row r="96" spans="1:5" x14ac:dyDescent="0.35">
      <c r="A96" s="31" t="s">
        <v>324</v>
      </c>
      <c r="B96" s="31" t="s">
        <v>407</v>
      </c>
      <c r="C96" s="40" t="s">
        <v>407</v>
      </c>
      <c r="D96" s="40" t="s">
        <v>407</v>
      </c>
      <c r="E96" s="39" t="s">
        <v>418</v>
      </c>
    </row>
    <row r="97" spans="1:5" x14ac:dyDescent="0.35">
      <c r="A97" s="31" t="s">
        <v>324</v>
      </c>
      <c r="B97" s="31" t="s">
        <v>164</v>
      </c>
      <c r="C97" s="36" t="s">
        <v>408</v>
      </c>
      <c r="D97" s="40" t="s">
        <v>408</v>
      </c>
      <c r="E97" s="39" t="s">
        <v>418</v>
      </c>
    </row>
    <row r="98" spans="1:5" x14ac:dyDescent="0.35">
      <c r="A98" s="31" t="s">
        <v>324</v>
      </c>
      <c r="B98" s="31" t="s">
        <v>165</v>
      </c>
      <c r="C98" s="36" t="s">
        <v>409</v>
      </c>
      <c r="D98" s="40" t="s">
        <v>408</v>
      </c>
      <c r="E98" s="39" t="s">
        <v>418</v>
      </c>
    </row>
    <row r="99" spans="1:5" x14ac:dyDescent="0.35">
      <c r="A99" s="31" t="s">
        <v>324</v>
      </c>
      <c r="B99" s="31" t="s">
        <v>410</v>
      </c>
      <c r="C99" s="36" t="s">
        <v>411</v>
      </c>
      <c r="D99" s="40" t="s">
        <v>408</v>
      </c>
      <c r="E99" s="39" t="s">
        <v>418</v>
      </c>
    </row>
    <row r="100" spans="1:5" x14ac:dyDescent="0.35">
      <c r="A100" s="31" t="s">
        <v>324</v>
      </c>
      <c r="B100" s="31" t="s">
        <v>412</v>
      </c>
      <c r="C100" s="40" t="s">
        <v>408</v>
      </c>
      <c r="D100" s="40" t="s">
        <v>408</v>
      </c>
      <c r="E100" s="39" t="s">
        <v>418</v>
      </c>
    </row>
    <row r="101" spans="1:5" x14ac:dyDescent="0.35">
      <c r="A101" s="31" t="s">
        <v>324</v>
      </c>
      <c r="B101" s="31" t="s">
        <v>413</v>
      </c>
      <c r="C101" s="40" t="s">
        <v>414</v>
      </c>
      <c r="D101" s="39" t="s">
        <v>418</v>
      </c>
      <c r="E101" s="39" t="s">
        <v>418</v>
      </c>
    </row>
    <row r="102" spans="1:5" x14ac:dyDescent="0.35">
      <c r="A102" s="31" t="s">
        <v>295</v>
      </c>
      <c r="B102" s="31" t="s">
        <v>415</v>
      </c>
      <c r="C102" s="40" t="s">
        <v>416</v>
      </c>
      <c r="D102" s="39" t="s">
        <v>418</v>
      </c>
      <c r="E102" s="39" t="s">
        <v>418</v>
      </c>
    </row>
    <row r="103" spans="1:5" x14ac:dyDescent="0.35">
      <c r="A103" s="31" t="s">
        <v>324</v>
      </c>
      <c r="B103" s="31" t="s">
        <v>417</v>
      </c>
      <c r="C103" s="39" t="s">
        <v>418</v>
      </c>
      <c r="D103" s="39" t="s">
        <v>418</v>
      </c>
      <c r="E103" s="39" t="s">
        <v>418</v>
      </c>
    </row>
    <row r="104" spans="1:5" x14ac:dyDescent="0.35">
      <c r="A104" s="31" t="s">
        <v>301</v>
      </c>
      <c r="B104" s="31" t="s">
        <v>61</v>
      </c>
      <c r="C104" s="34" t="s">
        <v>419</v>
      </c>
      <c r="D104" s="32" t="s">
        <v>424</v>
      </c>
      <c r="E104" s="40" t="s">
        <v>548</v>
      </c>
    </row>
    <row r="105" spans="1:5" x14ac:dyDescent="0.35">
      <c r="A105" s="31" t="s">
        <v>303</v>
      </c>
      <c r="B105" s="31" t="s">
        <v>62</v>
      </c>
      <c r="C105" s="34" t="s">
        <v>420</v>
      </c>
      <c r="D105" s="32" t="s">
        <v>424</v>
      </c>
      <c r="E105" s="40" t="s">
        <v>548</v>
      </c>
    </row>
    <row r="106" spans="1:5" x14ac:dyDescent="0.35">
      <c r="A106" s="31" t="s">
        <v>421</v>
      </c>
      <c r="B106" s="31" t="s">
        <v>110</v>
      </c>
      <c r="C106" s="34" t="s">
        <v>422</v>
      </c>
      <c r="D106" s="32" t="s">
        <v>424</v>
      </c>
      <c r="E106" s="40" t="s">
        <v>548</v>
      </c>
    </row>
    <row r="107" spans="1:5" x14ac:dyDescent="0.35">
      <c r="A107" s="31" t="s">
        <v>301</v>
      </c>
      <c r="B107" s="31" t="s">
        <v>423</v>
      </c>
      <c r="C107" s="32" t="s">
        <v>424</v>
      </c>
      <c r="D107" s="32" t="s">
        <v>424</v>
      </c>
      <c r="E107" s="40" t="s">
        <v>548</v>
      </c>
    </row>
    <row r="108" spans="1:5" x14ac:dyDescent="0.35">
      <c r="A108" s="31" t="s">
        <v>295</v>
      </c>
      <c r="B108" s="31" t="s">
        <v>63</v>
      </c>
      <c r="C108" s="33" t="s">
        <v>425</v>
      </c>
      <c r="D108" s="32" t="s">
        <v>438</v>
      </c>
      <c r="E108" s="40" t="s">
        <v>548</v>
      </c>
    </row>
    <row r="109" spans="1:5" x14ac:dyDescent="0.35">
      <c r="A109" s="31" t="s">
        <v>295</v>
      </c>
      <c r="B109" s="31" t="s">
        <v>64</v>
      </c>
      <c r="C109" s="33" t="s">
        <v>426</v>
      </c>
      <c r="D109" s="32" t="s">
        <v>438</v>
      </c>
      <c r="E109" s="40" t="s">
        <v>548</v>
      </c>
    </row>
    <row r="110" spans="1:5" x14ac:dyDescent="0.35">
      <c r="A110" s="31" t="s">
        <v>295</v>
      </c>
      <c r="B110" s="31" t="s">
        <v>427</v>
      </c>
      <c r="C110" s="34" t="s">
        <v>428</v>
      </c>
      <c r="D110" s="32" t="s">
        <v>438</v>
      </c>
      <c r="E110" s="40" t="s">
        <v>548</v>
      </c>
    </row>
    <row r="111" spans="1:5" x14ac:dyDescent="0.35">
      <c r="A111" s="31" t="s">
        <v>295</v>
      </c>
      <c r="B111" s="31" t="s">
        <v>71</v>
      </c>
      <c r="C111" s="33" t="s">
        <v>429</v>
      </c>
      <c r="D111" s="32" t="s">
        <v>438</v>
      </c>
      <c r="E111" s="40" t="s">
        <v>548</v>
      </c>
    </row>
    <row r="112" spans="1:5" x14ac:dyDescent="0.35">
      <c r="A112" s="31" t="s">
        <v>295</v>
      </c>
      <c r="B112" s="31" t="s">
        <v>216</v>
      </c>
      <c r="C112" s="33" t="s">
        <v>430</v>
      </c>
      <c r="D112" s="32" t="s">
        <v>438</v>
      </c>
      <c r="E112" s="40" t="s">
        <v>548</v>
      </c>
    </row>
    <row r="113" spans="1:5" x14ac:dyDescent="0.35">
      <c r="A113" s="31" t="s">
        <v>295</v>
      </c>
      <c r="B113" s="31" t="s">
        <v>431</v>
      </c>
      <c r="C113" s="33" t="s">
        <v>432</v>
      </c>
      <c r="D113" s="32" t="s">
        <v>438</v>
      </c>
      <c r="E113" s="40" t="s">
        <v>548</v>
      </c>
    </row>
    <row r="114" spans="1:5" x14ac:dyDescent="0.35">
      <c r="A114" s="31" t="s">
        <v>295</v>
      </c>
      <c r="B114" s="31" t="s">
        <v>433</v>
      </c>
      <c r="C114" s="34" t="s">
        <v>434</v>
      </c>
      <c r="D114" s="32" t="s">
        <v>438</v>
      </c>
      <c r="E114" s="40" t="s">
        <v>548</v>
      </c>
    </row>
    <row r="115" spans="1:5" x14ac:dyDescent="0.35">
      <c r="A115" s="31" t="s">
        <v>295</v>
      </c>
      <c r="B115" s="31" t="s">
        <v>435</v>
      </c>
      <c r="C115" s="34" t="s">
        <v>436</v>
      </c>
      <c r="D115" s="32" t="s">
        <v>438</v>
      </c>
      <c r="E115" s="40" t="s">
        <v>548</v>
      </c>
    </row>
    <row r="116" spans="1:5" x14ac:dyDescent="0.35">
      <c r="A116" s="31" t="s">
        <v>295</v>
      </c>
      <c r="B116" s="31" t="s">
        <v>437</v>
      </c>
      <c r="C116" s="32" t="s">
        <v>438</v>
      </c>
      <c r="D116" s="32" t="s">
        <v>438</v>
      </c>
      <c r="E116" s="40" t="s">
        <v>548</v>
      </c>
    </row>
    <row r="117" spans="1:5" x14ac:dyDescent="0.35">
      <c r="A117" s="31" t="s">
        <v>301</v>
      </c>
      <c r="B117" s="31" t="s">
        <v>439</v>
      </c>
      <c r="C117" s="35" t="s">
        <v>440</v>
      </c>
      <c r="D117" s="35" t="s">
        <v>440</v>
      </c>
      <c r="E117" s="40" t="s">
        <v>548</v>
      </c>
    </row>
    <row r="118" spans="1:5" x14ac:dyDescent="0.35">
      <c r="A118" s="31" t="s">
        <v>295</v>
      </c>
      <c r="B118" s="31" t="s">
        <v>83</v>
      </c>
      <c r="C118" s="42" t="s">
        <v>441</v>
      </c>
      <c r="D118" s="34" t="s">
        <v>459</v>
      </c>
      <c r="E118" s="40" t="s">
        <v>548</v>
      </c>
    </row>
    <row r="119" spans="1:5" x14ac:dyDescent="0.35">
      <c r="A119" s="31" t="s">
        <v>295</v>
      </c>
      <c r="B119" s="31" t="s">
        <v>79</v>
      </c>
      <c r="C119" s="43" t="s">
        <v>442</v>
      </c>
      <c r="D119" s="34" t="s">
        <v>459</v>
      </c>
      <c r="E119" s="40" t="s">
        <v>548</v>
      </c>
    </row>
    <row r="120" spans="1:5" x14ac:dyDescent="0.35">
      <c r="A120" s="31" t="s">
        <v>295</v>
      </c>
      <c r="B120" s="31" t="s">
        <v>104</v>
      </c>
      <c r="C120" s="43" t="s">
        <v>443</v>
      </c>
      <c r="D120" s="34" t="s">
        <v>459</v>
      </c>
      <c r="E120" s="40" t="s">
        <v>548</v>
      </c>
    </row>
    <row r="121" spans="1:5" x14ac:dyDescent="0.35">
      <c r="A121" s="31" t="s">
        <v>295</v>
      </c>
      <c r="B121" s="31" t="s">
        <v>105</v>
      </c>
      <c r="C121" s="43" t="s">
        <v>444</v>
      </c>
      <c r="D121" s="34" t="s">
        <v>459</v>
      </c>
      <c r="E121" s="40" t="s">
        <v>548</v>
      </c>
    </row>
    <row r="122" spans="1:5" x14ac:dyDescent="0.35">
      <c r="A122" s="31" t="s">
        <v>295</v>
      </c>
      <c r="B122" s="31" t="s">
        <v>445</v>
      </c>
      <c r="C122" s="42" t="s">
        <v>446</v>
      </c>
      <c r="D122" s="34" t="s">
        <v>459</v>
      </c>
      <c r="E122" s="40" t="s">
        <v>548</v>
      </c>
    </row>
    <row r="123" spans="1:5" x14ac:dyDescent="0.35">
      <c r="A123" s="31" t="s">
        <v>295</v>
      </c>
      <c r="B123" s="31" t="s">
        <v>447</v>
      </c>
      <c r="C123" s="33" t="s">
        <v>441</v>
      </c>
      <c r="D123" s="34" t="s">
        <v>459</v>
      </c>
      <c r="E123" s="40" t="s">
        <v>548</v>
      </c>
    </row>
    <row r="124" spans="1:5" x14ac:dyDescent="0.35">
      <c r="A124" s="31" t="s">
        <v>295</v>
      </c>
      <c r="B124" s="31" t="s">
        <v>78</v>
      </c>
      <c r="C124" s="33" t="s">
        <v>448</v>
      </c>
      <c r="D124" s="34" t="s">
        <v>459</v>
      </c>
      <c r="E124" s="40" t="s">
        <v>548</v>
      </c>
    </row>
    <row r="125" spans="1:5" x14ac:dyDescent="0.35">
      <c r="A125" s="31" t="s">
        <v>295</v>
      </c>
      <c r="B125" s="31" t="s">
        <v>80</v>
      </c>
      <c r="C125" s="33" t="s">
        <v>449</v>
      </c>
      <c r="D125" s="34" t="s">
        <v>459</v>
      </c>
      <c r="E125" s="40" t="s">
        <v>548</v>
      </c>
    </row>
    <row r="126" spans="1:5" x14ac:dyDescent="0.35">
      <c r="A126" s="31" t="s">
        <v>295</v>
      </c>
      <c r="B126" s="31" t="s">
        <v>106</v>
      </c>
      <c r="C126" s="33" t="s">
        <v>450</v>
      </c>
      <c r="D126" s="34" t="s">
        <v>459</v>
      </c>
      <c r="E126" s="40" t="s">
        <v>548</v>
      </c>
    </row>
    <row r="127" spans="1:5" x14ac:dyDescent="0.35">
      <c r="A127" s="31" t="s">
        <v>295</v>
      </c>
      <c r="B127" s="31" t="s">
        <v>81</v>
      </c>
      <c r="C127" s="33" t="s">
        <v>451</v>
      </c>
      <c r="D127" s="34" t="s">
        <v>459</v>
      </c>
      <c r="E127" s="40" t="s">
        <v>548</v>
      </c>
    </row>
    <row r="128" spans="1:5" x14ac:dyDescent="0.35">
      <c r="A128" s="31" t="s">
        <v>295</v>
      </c>
      <c r="B128" s="31" t="s">
        <v>82</v>
      </c>
      <c r="C128" s="33" t="s">
        <v>452</v>
      </c>
      <c r="D128" s="34" t="s">
        <v>459</v>
      </c>
      <c r="E128" s="40" t="s">
        <v>548</v>
      </c>
    </row>
    <row r="129" spans="1:5" x14ac:dyDescent="0.35">
      <c r="A129" s="31" t="s">
        <v>295</v>
      </c>
      <c r="B129" s="31" t="s">
        <v>84</v>
      </c>
      <c r="C129" s="33" t="s">
        <v>453</v>
      </c>
      <c r="D129" s="34" t="s">
        <v>459</v>
      </c>
      <c r="E129" s="40" t="s">
        <v>548</v>
      </c>
    </row>
    <row r="130" spans="1:5" x14ac:dyDescent="0.35">
      <c r="A130" s="31" t="s">
        <v>295</v>
      </c>
      <c r="B130" s="31" t="s">
        <v>85</v>
      </c>
      <c r="C130" s="33" t="s">
        <v>454</v>
      </c>
      <c r="D130" s="34" t="s">
        <v>459</v>
      </c>
      <c r="E130" s="40" t="s">
        <v>548</v>
      </c>
    </row>
    <row r="131" spans="1:5" x14ac:dyDescent="0.35">
      <c r="A131" s="31" t="s">
        <v>295</v>
      </c>
      <c r="B131" s="31" t="s">
        <v>86</v>
      </c>
      <c r="C131" s="33" t="s">
        <v>455</v>
      </c>
      <c r="D131" s="34" t="s">
        <v>459</v>
      </c>
      <c r="E131" s="40" t="s">
        <v>548</v>
      </c>
    </row>
    <row r="132" spans="1:5" x14ac:dyDescent="0.35">
      <c r="A132" s="31" t="s">
        <v>295</v>
      </c>
      <c r="B132" s="31" t="s">
        <v>22</v>
      </c>
      <c r="C132" s="33" t="s">
        <v>456</v>
      </c>
      <c r="D132" s="34" t="s">
        <v>459</v>
      </c>
      <c r="E132" s="40" t="s">
        <v>548</v>
      </c>
    </row>
    <row r="133" spans="1:5" x14ac:dyDescent="0.35">
      <c r="A133" s="31" t="s">
        <v>295</v>
      </c>
      <c r="B133" s="31" t="s">
        <v>23</v>
      </c>
      <c r="C133" s="33" t="s">
        <v>457</v>
      </c>
      <c r="D133" s="34" t="s">
        <v>459</v>
      </c>
      <c r="E133" s="40" t="s">
        <v>548</v>
      </c>
    </row>
    <row r="134" spans="1:5" x14ac:dyDescent="0.35">
      <c r="A134" s="31" t="s">
        <v>295</v>
      </c>
      <c r="B134" s="31" t="s">
        <v>458</v>
      </c>
      <c r="C134" s="34" t="s">
        <v>459</v>
      </c>
      <c r="D134" s="34" t="s">
        <v>459</v>
      </c>
      <c r="E134" s="40" t="s">
        <v>548</v>
      </c>
    </row>
    <row r="135" spans="1:5" x14ac:dyDescent="0.35">
      <c r="A135" s="31" t="s">
        <v>295</v>
      </c>
      <c r="B135" s="31" t="s">
        <v>87</v>
      </c>
      <c r="C135" s="42" t="s">
        <v>460</v>
      </c>
      <c r="D135" s="34" t="s">
        <v>474</v>
      </c>
      <c r="E135" s="40" t="s">
        <v>548</v>
      </c>
    </row>
    <row r="136" spans="1:5" x14ac:dyDescent="0.35">
      <c r="A136" s="31" t="s">
        <v>295</v>
      </c>
      <c r="B136" s="31" t="s">
        <v>88</v>
      </c>
      <c r="C136" s="42" t="s">
        <v>461</v>
      </c>
      <c r="D136" s="34" t="s">
        <v>474</v>
      </c>
      <c r="E136" s="40" t="s">
        <v>548</v>
      </c>
    </row>
    <row r="137" spans="1:5" x14ac:dyDescent="0.35">
      <c r="A137" s="31" t="s">
        <v>295</v>
      </c>
      <c r="B137" s="31" t="s">
        <v>462</v>
      </c>
      <c r="C137" s="33" t="s">
        <v>461</v>
      </c>
      <c r="D137" s="34" t="s">
        <v>474</v>
      </c>
      <c r="E137" s="40" t="s">
        <v>548</v>
      </c>
    </row>
    <row r="138" spans="1:5" x14ac:dyDescent="0.35">
      <c r="A138" s="31" t="s">
        <v>295</v>
      </c>
      <c r="B138" s="31" t="s">
        <v>89</v>
      </c>
      <c r="C138" s="33" t="s">
        <v>463</v>
      </c>
      <c r="D138" s="34" t="s">
        <v>474</v>
      </c>
      <c r="E138" s="40" t="s">
        <v>548</v>
      </c>
    </row>
    <row r="139" spans="1:5" x14ac:dyDescent="0.35">
      <c r="A139" s="31" t="s">
        <v>295</v>
      </c>
      <c r="B139" s="31" t="s">
        <v>90</v>
      </c>
      <c r="C139" s="33" t="s">
        <v>464</v>
      </c>
      <c r="D139" s="34" t="s">
        <v>474</v>
      </c>
      <c r="E139" s="40" t="s">
        <v>548</v>
      </c>
    </row>
    <row r="140" spans="1:5" x14ac:dyDescent="0.35">
      <c r="A140" s="31" t="s">
        <v>295</v>
      </c>
      <c r="B140" s="31" t="s">
        <v>91</v>
      </c>
      <c r="C140" s="33" t="s">
        <v>465</v>
      </c>
      <c r="D140" s="34" t="s">
        <v>474</v>
      </c>
      <c r="E140" s="40" t="s">
        <v>548</v>
      </c>
    </row>
    <row r="141" spans="1:5" x14ac:dyDescent="0.35">
      <c r="A141" s="31" t="s">
        <v>295</v>
      </c>
      <c r="B141" s="31" t="s">
        <v>92</v>
      </c>
      <c r="C141" s="33" t="s">
        <v>466</v>
      </c>
      <c r="D141" s="34" t="s">
        <v>474</v>
      </c>
      <c r="E141" s="40" t="s">
        <v>548</v>
      </c>
    </row>
    <row r="142" spans="1:5" x14ac:dyDescent="0.35">
      <c r="A142" s="31" t="s">
        <v>295</v>
      </c>
      <c r="B142" s="31" t="s">
        <v>13</v>
      </c>
      <c r="C142" s="33" t="s">
        <v>467</v>
      </c>
      <c r="D142" s="34" t="s">
        <v>474</v>
      </c>
      <c r="E142" s="40" t="s">
        <v>548</v>
      </c>
    </row>
    <row r="143" spans="1:5" x14ac:dyDescent="0.35">
      <c r="A143" s="31" t="s">
        <v>295</v>
      </c>
      <c r="B143" s="31" t="s">
        <v>14</v>
      </c>
      <c r="C143" s="33" t="s">
        <v>468</v>
      </c>
      <c r="D143" s="34" t="s">
        <v>474</v>
      </c>
      <c r="E143" s="40" t="s">
        <v>548</v>
      </c>
    </row>
    <row r="144" spans="1:5" x14ac:dyDescent="0.35">
      <c r="A144" s="31" t="s">
        <v>295</v>
      </c>
      <c r="B144" s="31" t="s">
        <v>97</v>
      </c>
      <c r="C144" s="33" t="s">
        <v>469</v>
      </c>
      <c r="D144" s="34" t="s">
        <v>474</v>
      </c>
      <c r="E144" s="40" t="s">
        <v>548</v>
      </c>
    </row>
    <row r="145" spans="1:5" x14ac:dyDescent="0.35">
      <c r="A145" s="31" t="s">
        <v>295</v>
      </c>
      <c r="B145" s="31" t="s">
        <v>3</v>
      </c>
      <c r="C145" s="33" t="s">
        <v>470</v>
      </c>
      <c r="D145" s="34" t="s">
        <v>474</v>
      </c>
      <c r="E145" s="40" t="s">
        <v>548</v>
      </c>
    </row>
    <row r="146" spans="1:5" x14ac:dyDescent="0.35">
      <c r="A146" s="31" t="s">
        <v>295</v>
      </c>
      <c r="B146" s="31" t="s">
        <v>4</v>
      </c>
      <c r="C146" s="33" t="s">
        <v>471</v>
      </c>
      <c r="D146" s="34" t="s">
        <v>474</v>
      </c>
      <c r="E146" s="40" t="s">
        <v>548</v>
      </c>
    </row>
    <row r="147" spans="1:5" x14ac:dyDescent="0.35">
      <c r="A147" s="31" t="s">
        <v>295</v>
      </c>
      <c r="B147" s="31" t="s">
        <v>95</v>
      </c>
      <c r="C147" s="33" t="s">
        <v>472</v>
      </c>
      <c r="D147" s="34" t="s">
        <v>474</v>
      </c>
      <c r="E147" s="40" t="s">
        <v>548</v>
      </c>
    </row>
    <row r="148" spans="1:5" x14ac:dyDescent="0.35">
      <c r="A148" s="31" t="s">
        <v>295</v>
      </c>
      <c r="B148" s="31" t="s">
        <v>473</v>
      </c>
      <c r="C148" s="34" t="s">
        <v>474</v>
      </c>
      <c r="D148" s="34" t="s">
        <v>474</v>
      </c>
      <c r="E148" s="40" t="s">
        <v>548</v>
      </c>
    </row>
    <row r="149" spans="1:5" x14ac:dyDescent="0.35">
      <c r="A149" s="31" t="s">
        <v>295</v>
      </c>
      <c r="B149" s="31" t="s">
        <v>98</v>
      </c>
      <c r="C149" s="42" t="s">
        <v>475</v>
      </c>
      <c r="D149" s="34" t="s">
        <v>499</v>
      </c>
      <c r="E149" s="40" t="s">
        <v>548</v>
      </c>
    </row>
    <row r="150" spans="1:5" x14ac:dyDescent="0.35">
      <c r="A150" s="31" t="s">
        <v>295</v>
      </c>
      <c r="B150" s="31" t="s">
        <v>6</v>
      </c>
      <c r="C150" s="44" t="s">
        <v>476</v>
      </c>
      <c r="D150" s="34" t="s">
        <v>499</v>
      </c>
      <c r="E150" s="40" t="s">
        <v>548</v>
      </c>
    </row>
    <row r="151" spans="1:5" x14ac:dyDescent="0.35">
      <c r="A151" s="31" t="s">
        <v>295</v>
      </c>
      <c r="B151" s="31" t="s">
        <v>477</v>
      </c>
      <c r="C151" s="44" t="s">
        <v>478</v>
      </c>
      <c r="D151" s="34" t="s">
        <v>499</v>
      </c>
      <c r="E151" s="40" t="s">
        <v>548</v>
      </c>
    </row>
    <row r="152" spans="1:5" x14ac:dyDescent="0.35">
      <c r="A152" s="31" t="s">
        <v>295</v>
      </c>
      <c r="B152" s="31" t="s">
        <v>479</v>
      </c>
      <c r="C152" s="43" t="s">
        <v>480</v>
      </c>
      <c r="D152" s="34" t="s">
        <v>499</v>
      </c>
      <c r="E152" s="40" t="s">
        <v>548</v>
      </c>
    </row>
    <row r="153" spans="1:5" x14ac:dyDescent="0.35">
      <c r="A153" s="31" t="s">
        <v>295</v>
      </c>
      <c r="B153" s="31" t="s">
        <v>94</v>
      </c>
      <c r="C153" s="43" t="s">
        <v>481</v>
      </c>
      <c r="D153" s="34" t="s">
        <v>499</v>
      </c>
      <c r="E153" s="40" t="s">
        <v>548</v>
      </c>
    </row>
    <row r="154" spans="1:5" x14ac:dyDescent="0.35">
      <c r="A154" s="31" t="s">
        <v>295</v>
      </c>
      <c r="B154" s="31" t="s">
        <v>96</v>
      </c>
      <c r="C154" s="43" t="s">
        <v>482</v>
      </c>
      <c r="D154" s="34" t="s">
        <v>499</v>
      </c>
      <c r="E154" s="40" t="s">
        <v>548</v>
      </c>
    </row>
    <row r="155" spans="1:5" x14ac:dyDescent="0.35">
      <c r="A155" s="31" t="s">
        <v>295</v>
      </c>
      <c r="B155" s="31" t="s">
        <v>5</v>
      </c>
      <c r="C155" s="43" t="s">
        <v>483</v>
      </c>
      <c r="D155" s="34" t="s">
        <v>499</v>
      </c>
      <c r="E155" s="40" t="s">
        <v>548</v>
      </c>
    </row>
    <row r="156" spans="1:5" x14ac:dyDescent="0.35">
      <c r="A156" s="31" t="s">
        <v>295</v>
      </c>
      <c r="B156" s="31" t="s">
        <v>484</v>
      </c>
      <c r="C156" s="42" t="s">
        <v>485</v>
      </c>
      <c r="D156" s="34" t="s">
        <v>499</v>
      </c>
      <c r="E156" s="40" t="s">
        <v>548</v>
      </c>
    </row>
    <row r="157" spans="1:5" x14ac:dyDescent="0.35">
      <c r="A157" s="31" t="s">
        <v>295</v>
      </c>
      <c r="B157" s="31" t="s">
        <v>486</v>
      </c>
      <c r="C157" s="33" t="s">
        <v>487</v>
      </c>
      <c r="D157" s="34" t="s">
        <v>499</v>
      </c>
      <c r="E157" s="40" t="s">
        <v>548</v>
      </c>
    </row>
    <row r="158" spans="1:5" x14ac:dyDescent="0.35">
      <c r="A158" s="31" t="s">
        <v>295</v>
      </c>
      <c r="B158" s="31" t="s">
        <v>59</v>
      </c>
      <c r="C158" s="44" t="s">
        <v>488</v>
      </c>
      <c r="D158" s="34" t="s">
        <v>499</v>
      </c>
      <c r="E158" s="40" t="s">
        <v>548</v>
      </c>
    </row>
    <row r="159" spans="1:5" x14ac:dyDescent="0.35">
      <c r="A159" s="31" t="s">
        <v>295</v>
      </c>
      <c r="B159" s="31" t="s">
        <v>489</v>
      </c>
      <c r="C159" s="44" t="s">
        <v>490</v>
      </c>
      <c r="D159" s="34" t="s">
        <v>499</v>
      </c>
      <c r="E159" s="40" t="s">
        <v>548</v>
      </c>
    </row>
    <row r="160" spans="1:5" x14ac:dyDescent="0.35">
      <c r="A160" s="31" t="s">
        <v>295</v>
      </c>
      <c r="B160" s="31" t="s">
        <v>491</v>
      </c>
      <c r="C160" s="43" t="s">
        <v>488</v>
      </c>
      <c r="D160" s="34" t="s">
        <v>499</v>
      </c>
      <c r="E160" s="40" t="s">
        <v>548</v>
      </c>
    </row>
    <row r="161" spans="1:5" x14ac:dyDescent="0.35">
      <c r="A161" s="31" t="s">
        <v>295</v>
      </c>
      <c r="B161" s="31" t="s">
        <v>60</v>
      </c>
      <c r="C161" s="43" t="s">
        <v>492</v>
      </c>
      <c r="D161" s="34" t="s">
        <v>499</v>
      </c>
      <c r="E161" s="40" t="s">
        <v>548</v>
      </c>
    </row>
    <row r="162" spans="1:5" x14ac:dyDescent="0.35">
      <c r="A162" s="31" t="s">
        <v>295</v>
      </c>
      <c r="B162" s="31" t="s">
        <v>493</v>
      </c>
      <c r="C162" s="42" t="s">
        <v>494</v>
      </c>
      <c r="D162" s="34" t="s">
        <v>499</v>
      </c>
      <c r="E162" s="40" t="s">
        <v>548</v>
      </c>
    </row>
    <row r="163" spans="1:5" x14ac:dyDescent="0.35">
      <c r="A163" s="31" t="s">
        <v>292</v>
      </c>
      <c r="B163" s="31" t="s">
        <v>57</v>
      </c>
      <c r="C163" s="42" t="s">
        <v>495</v>
      </c>
      <c r="D163" s="34" t="s">
        <v>499</v>
      </c>
      <c r="E163" s="40" t="s">
        <v>548</v>
      </c>
    </row>
    <row r="164" spans="1:5" x14ac:dyDescent="0.35">
      <c r="A164" s="31" t="s">
        <v>295</v>
      </c>
      <c r="B164" s="31" t="s">
        <v>496</v>
      </c>
      <c r="C164" s="33" t="s">
        <v>497</v>
      </c>
      <c r="D164" s="34" t="s">
        <v>499</v>
      </c>
      <c r="E164" s="40" t="s">
        <v>548</v>
      </c>
    </row>
    <row r="165" spans="1:5" x14ac:dyDescent="0.35">
      <c r="A165" s="31" t="s">
        <v>295</v>
      </c>
      <c r="B165" s="31" t="s">
        <v>498</v>
      </c>
      <c r="C165" s="34" t="s">
        <v>499</v>
      </c>
      <c r="D165" s="34" t="s">
        <v>499</v>
      </c>
      <c r="E165" s="40" t="s">
        <v>548</v>
      </c>
    </row>
    <row r="166" spans="1:5" x14ac:dyDescent="0.35">
      <c r="A166" s="31" t="s">
        <v>295</v>
      </c>
      <c r="B166" s="31" t="s">
        <v>500</v>
      </c>
      <c r="C166" s="32" t="s">
        <v>501</v>
      </c>
      <c r="D166" s="35" t="s">
        <v>511</v>
      </c>
      <c r="E166" s="40" t="s">
        <v>548</v>
      </c>
    </row>
    <row r="167" spans="1:5" x14ac:dyDescent="0.35">
      <c r="A167" s="31" t="s">
        <v>295</v>
      </c>
      <c r="B167" s="31" t="s">
        <v>15</v>
      </c>
      <c r="C167" s="34" t="s">
        <v>502</v>
      </c>
      <c r="D167" s="35" t="s">
        <v>511</v>
      </c>
      <c r="E167" s="40" t="s">
        <v>548</v>
      </c>
    </row>
    <row r="168" spans="1:5" x14ac:dyDescent="0.35">
      <c r="A168" s="31" t="s">
        <v>295</v>
      </c>
      <c r="B168" s="31" t="s">
        <v>148</v>
      </c>
      <c r="C168" s="34" t="s">
        <v>503</v>
      </c>
      <c r="D168" s="35" t="s">
        <v>511</v>
      </c>
      <c r="E168" s="40" t="s">
        <v>548</v>
      </c>
    </row>
    <row r="169" spans="1:5" x14ac:dyDescent="0.35">
      <c r="A169" s="31" t="s">
        <v>295</v>
      </c>
      <c r="B169" s="31" t="s">
        <v>218</v>
      </c>
      <c r="C169" s="34" t="s">
        <v>504</v>
      </c>
      <c r="D169" s="35" t="s">
        <v>511</v>
      </c>
      <c r="E169" s="40" t="s">
        <v>548</v>
      </c>
    </row>
    <row r="170" spans="1:5" x14ac:dyDescent="0.35">
      <c r="A170" s="31" t="s">
        <v>295</v>
      </c>
      <c r="B170" s="31" t="s">
        <v>505</v>
      </c>
      <c r="C170" s="34" t="s">
        <v>506</v>
      </c>
      <c r="D170" s="35" t="s">
        <v>511</v>
      </c>
      <c r="E170" s="40" t="s">
        <v>548</v>
      </c>
    </row>
    <row r="171" spans="1:5" x14ac:dyDescent="0.35">
      <c r="A171" s="31" t="s">
        <v>295</v>
      </c>
      <c r="B171" s="31" t="s">
        <v>150</v>
      </c>
      <c r="C171" s="34" t="s">
        <v>507</v>
      </c>
      <c r="D171" s="35" t="s">
        <v>511</v>
      </c>
      <c r="E171" s="40" t="s">
        <v>548</v>
      </c>
    </row>
    <row r="172" spans="1:5" x14ac:dyDescent="0.35">
      <c r="A172" s="31" t="s">
        <v>295</v>
      </c>
      <c r="B172" s="31" t="s">
        <v>508</v>
      </c>
      <c r="C172" s="32" t="s">
        <v>509</v>
      </c>
      <c r="D172" s="35" t="s">
        <v>511</v>
      </c>
      <c r="E172" s="40" t="s">
        <v>548</v>
      </c>
    </row>
    <row r="173" spans="1:5" x14ac:dyDescent="0.35">
      <c r="A173" s="31" t="s">
        <v>295</v>
      </c>
      <c r="B173" s="31" t="s">
        <v>510</v>
      </c>
      <c r="C173" s="35" t="s">
        <v>511</v>
      </c>
      <c r="D173" s="35" t="s">
        <v>511</v>
      </c>
      <c r="E173" s="40" t="s">
        <v>548</v>
      </c>
    </row>
    <row r="174" spans="1:5" x14ac:dyDescent="0.35">
      <c r="A174" s="31" t="s">
        <v>269</v>
      </c>
      <c r="B174" s="31" t="s">
        <v>68</v>
      </c>
      <c r="C174" s="42" t="s">
        <v>512</v>
      </c>
      <c r="D174" s="35" t="s">
        <v>531</v>
      </c>
      <c r="E174" s="40" t="s">
        <v>548</v>
      </c>
    </row>
    <row r="175" spans="1:5" x14ac:dyDescent="0.35">
      <c r="A175" s="31" t="s">
        <v>269</v>
      </c>
      <c r="B175" s="31" t="s">
        <v>221</v>
      </c>
      <c r="C175" s="42" t="s">
        <v>513</v>
      </c>
      <c r="D175" s="35" t="s">
        <v>531</v>
      </c>
      <c r="E175" s="40" t="s">
        <v>548</v>
      </c>
    </row>
    <row r="176" spans="1:5" x14ac:dyDescent="0.35">
      <c r="A176" s="31" t="s">
        <v>269</v>
      </c>
      <c r="B176" s="31" t="s">
        <v>514</v>
      </c>
      <c r="C176" s="42" t="s">
        <v>515</v>
      </c>
      <c r="D176" s="35" t="s">
        <v>531</v>
      </c>
      <c r="E176" s="40" t="s">
        <v>548</v>
      </c>
    </row>
    <row r="177" spans="1:5" x14ac:dyDescent="0.35">
      <c r="A177" s="31" t="s">
        <v>269</v>
      </c>
      <c r="B177" s="31" t="s">
        <v>516</v>
      </c>
      <c r="C177" s="33" t="s">
        <v>516</v>
      </c>
      <c r="D177" s="35" t="s">
        <v>531</v>
      </c>
      <c r="E177" s="40" t="s">
        <v>548</v>
      </c>
    </row>
    <row r="178" spans="1:5" x14ac:dyDescent="0.35">
      <c r="A178" s="31" t="s">
        <v>269</v>
      </c>
      <c r="B178" s="31" t="s">
        <v>102</v>
      </c>
      <c r="C178" s="33" t="s">
        <v>517</v>
      </c>
      <c r="D178" s="35" t="s">
        <v>531</v>
      </c>
      <c r="E178" s="40" t="s">
        <v>548</v>
      </c>
    </row>
    <row r="179" spans="1:5" x14ac:dyDescent="0.35">
      <c r="A179" s="31" t="s">
        <v>269</v>
      </c>
      <c r="B179" s="31" t="s">
        <v>100</v>
      </c>
      <c r="C179" s="33" t="s">
        <v>518</v>
      </c>
      <c r="D179" s="35" t="s">
        <v>531</v>
      </c>
      <c r="E179" s="40" t="s">
        <v>548</v>
      </c>
    </row>
    <row r="180" spans="1:5" x14ac:dyDescent="0.35">
      <c r="A180" s="31" t="s">
        <v>269</v>
      </c>
      <c r="B180" s="31" t="s">
        <v>519</v>
      </c>
      <c r="C180" s="34" t="s">
        <v>520</v>
      </c>
      <c r="D180" s="35" t="s">
        <v>531</v>
      </c>
      <c r="E180" s="40" t="s">
        <v>548</v>
      </c>
    </row>
    <row r="181" spans="1:5" x14ac:dyDescent="0.35">
      <c r="A181" s="31" t="s">
        <v>521</v>
      </c>
      <c r="B181" s="31" t="s">
        <v>99</v>
      </c>
      <c r="C181" s="34" t="s">
        <v>522</v>
      </c>
      <c r="D181" s="35" t="s">
        <v>531</v>
      </c>
      <c r="E181" s="40" t="s">
        <v>548</v>
      </c>
    </row>
    <row r="182" spans="1:5" x14ac:dyDescent="0.35">
      <c r="A182" s="31" t="s">
        <v>269</v>
      </c>
      <c r="B182" s="31" t="s">
        <v>523</v>
      </c>
      <c r="C182" s="32" t="s">
        <v>524</v>
      </c>
      <c r="D182" s="35" t="s">
        <v>531</v>
      </c>
      <c r="E182" s="40" t="s">
        <v>548</v>
      </c>
    </row>
    <row r="183" spans="1:5" x14ac:dyDescent="0.35">
      <c r="A183" s="31" t="s">
        <v>269</v>
      </c>
      <c r="B183" s="31" t="s">
        <v>67</v>
      </c>
      <c r="C183" s="34" t="s">
        <v>525</v>
      </c>
      <c r="D183" s="35" t="s">
        <v>531</v>
      </c>
      <c r="E183" s="40" t="s">
        <v>548</v>
      </c>
    </row>
    <row r="184" spans="1:5" x14ac:dyDescent="0.35">
      <c r="A184" s="31" t="s">
        <v>269</v>
      </c>
      <c r="B184" s="31" t="s">
        <v>103</v>
      </c>
      <c r="C184" s="34" t="s">
        <v>526</v>
      </c>
      <c r="D184" s="35" t="s">
        <v>531</v>
      </c>
      <c r="E184" s="40" t="s">
        <v>548</v>
      </c>
    </row>
    <row r="185" spans="1:5" x14ac:dyDescent="0.35">
      <c r="A185" s="31" t="s">
        <v>269</v>
      </c>
      <c r="B185" s="31" t="s">
        <v>527</v>
      </c>
      <c r="C185" s="32" t="s">
        <v>528</v>
      </c>
      <c r="D185" s="35" t="s">
        <v>531</v>
      </c>
      <c r="E185" s="40" t="s">
        <v>548</v>
      </c>
    </row>
    <row r="186" spans="1:5" x14ac:dyDescent="0.35">
      <c r="A186" s="31" t="s">
        <v>269</v>
      </c>
      <c r="B186" s="31" t="s">
        <v>217</v>
      </c>
      <c r="C186" s="32" t="s">
        <v>529</v>
      </c>
      <c r="D186" s="35" t="s">
        <v>531</v>
      </c>
      <c r="E186" s="40" t="s">
        <v>548</v>
      </c>
    </row>
    <row r="187" spans="1:5" x14ac:dyDescent="0.35">
      <c r="A187" s="31" t="s">
        <v>269</v>
      </c>
      <c r="B187" s="31" t="s">
        <v>530</v>
      </c>
      <c r="C187" s="35" t="s">
        <v>531</v>
      </c>
      <c r="D187" s="35" t="s">
        <v>531</v>
      </c>
      <c r="E187" s="40" t="s">
        <v>548</v>
      </c>
    </row>
    <row r="188" spans="1:5" x14ac:dyDescent="0.35">
      <c r="A188" s="31" t="s">
        <v>292</v>
      </c>
      <c r="B188" s="31" t="s">
        <v>11</v>
      </c>
      <c r="C188" s="34" t="s">
        <v>532</v>
      </c>
      <c r="D188" s="35" t="s">
        <v>540</v>
      </c>
      <c r="E188" s="40" t="s">
        <v>548</v>
      </c>
    </row>
    <row r="189" spans="1:5" x14ac:dyDescent="0.35">
      <c r="A189" s="31" t="s">
        <v>324</v>
      </c>
      <c r="B189" s="31" t="s">
        <v>19</v>
      </c>
      <c r="C189" s="34" t="s">
        <v>533</v>
      </c>
      <c r="D189" s="35" t="s">
        <v>540</v>
      </c>
      <c r="E189" s="40" t="s">
        <v>548</v>
      </c>
    </row>
    <row r="190" spans="1:5" x14ac:dyDescent="0.35">
      <c r="A190" s="31" t="s">
        <v>292</v>
      </c>
      <c r="B190" s="31" t="s">
        <v>9</v>
      </c>
      <c r="C190" s="34" t="s">
        <v>534</v>
      </c>
      <c r="D190" s="35" t="s">
        <v>540</v>
      </c>
      <c r="E190" s="40" t="s">
        <v>548</v>
      </c>
    </row>
    <row r="191" spans="1:5" x14ac:dyDescent="0.35">
      <c r="A191" s="31" t="s">
        <v>292</v>
      </c>
      <c r="B191" s="31" t="s">
        <v>126</v>
      </c>
      <c r="C191" s="34" t="s">
        <v>535</v>
      </c>
      <c r="D191" s="35" t="s">
        <v>540</v>
      </c>
      <c r="E191" s="40" t="s">
        <v>548</v>
      </c>
    </row>
    <row r="192" spans="1:5" x14ac:dyDescent="0.35">
      <c r="A192" s="31" t="s">
        <v>292</v>
      </c>
      <c r="B192" s="31" t="s">
        <v>536</v>
      </c>
      <c r="C192" s="32" t="s">
        <v>536</v>
      </c>
      <c r="D192" s="35" t="s">
        <v>540</v>
      </c>
      <c r="E192" s="40" t="s">
        <v>548</v>
      </c>
    </row>
    <row r="193" spans="1:5" x14ac:dyDescent="0.35">
      <c r="A193" s="31" t="s">
        <v>292</v>
      </c>
      <c r="B193" s="31" t="s">
        <v>537</v>
      </c>
      <c r="C193" s="32" t="s">
        <v>538</v>
      </c>
      <c r="D193" s="35" t="s">
        <v>540</v>
      </c>
      <c r="E193" s="40" t="s">
        <v>548</v>
      </c>
    </row>
    <row r="194" spans="1:5" x14ac:dyDescent="0.35">
      <c r="A194" s="31" t="s">
        <v>292</v>
      </c>
      <c r="B194" s="31" t="s">
        <v>539</v>
      </c>
      <c r="C194" s="35" t="s">
        <v>540</v>
      </c>
      <c r="D194" s="35" t="s">
        <v>540</v>
      </c>
      <c r="E194" s="40" t="s">
        <v>548</v>
      </c>
    </row>
    <row r="195" spans="1:5" x14ac:dyDescent="0.35">
      <c r="A195" s="31" t="s">
        <v>292</v>
      </c>
      <c r="B195" s="31" t="s">
        <v>541</v>
      </c>
      <c r="C195" s="36" t="s">
        <v>542</v>
      </c>
      <c r="D195" s="36" t="s">
        <v>546</v>
      </c>
      <c r="E195" s="40" t="s">
        <v>548</v>
      </c>
    </row>
    <row r="196" spans="1:5" x14ac:dyDescent="0.35">
      <c r="A196" s="31" t="s">
        <v>295</v>
      </c>
      <c r="B196" s="31" t="s">
        <v>146</v>
      </c>
      <c r="C196" s="35" t="s">
        <v>543</v>
      </c>
      <c r="D196" s="36" t="s">
        <v>546</v>
      </c>
      <c r="E196" s="40" t="s">
        <v>548</v>
      </c>
    </row>
    <row r="197" spans="1:5" x14ac:dyDescent="0.35">
      <c r="A197" s="31" t="s">
        <v>292</v>
      </c>
      <c r="B197" s="31" t="s">
        <v>125</v>
      </c>
      <c r="C197" s="35" t="s">
        <v>544</v>
      </c>
      <c r="D197" s="36" t="s">
        <v>546</v>
      </c>
      <c r="E197" s="40" t="s">
        <v>548</v>
      </c>
    </row>
    <row r="198" spans="1:5" x14ac:dyDescent="0.35">
      <c r="A198" s="31" t="s">
        <v>292</v>
      </c>
      <c r="B198" s="31" t="s">
        <v>545</v>
      </c>
      <c r="C198" s="36" t="s">
        <v>546</v>
      </c>
      <c r="D198" s="36" t="s">
        <v>546</v>
      </c>
      <c r="E198" s="40" t="s">
        <v>548</v>
      </c>
    </row>
    <row r="199" spans="1:5" x14ac:dyDescent="0.35">
      <c r="A199" s="31" t="s">
        <v>292</v>
      </c>
      <c r="B199" s="31" t="s">
        <v>547</v>
      </c>
      <c r="C199" s="40" t="s">
        <v>548</v>
      </c>
      <c r="E199" s="40" t="s">
        <v>548</v>
      </c>
    </row>
    <row r="200" spans="1:5" x14ac:dyDescent="0.35">
      <c r="A200" s="31" t="s">
        <v>292</v>
      </c>
      <c r="B200" s="31" t="s">
        <v>26</v>
      </c>
      <c r="C200" s="32" t="s">
        <v>549</v>
      </c>
      <c r="D200" s="39" t="s">
        <v>922</v>
      </c>
      <c r="E200" s="39" t="s">
        <v>613</v>
      </c>
    </row>
    <row r="201" spans="1:5" x14ac:dyDescent="0.35">
      <c r="A201" s="31" t="s">
        <v>550</v>
      </c>
      <c r="B201" s="31" t="s">
        <v>27</v>
      </c>
      <c r="C201" s="34" t="s">
        <v>551</v>
      </c>
      <c r="D201" s="39" t="s">
        <v>922</v>
      </c>
      <c r="E201" s="39" t="s">
        <v>613</v>
      </c>
    </row>
    <row r="202" spans="1:5" x14ac:dyDescent="0.35">
      <c r="A202" s="31" t="s">
        <v>550</v>
      </c>
      <c r="B202" s="31" t="s">
        <v>552</v>
      </c>
      <c r="C202" s="34" t="s">
        <v>553</v>
      </c>
      <c r="D202" s="39" t="s">
        <v>922</v>
      </c>
      <c r="E202" s="39" t="s">
        <v>613</v>
      </c>
    </row>
    <row r="203" spans="1:5" x14ac:dyDescent="0.35">
      <c r="A203" s="31" t="s">
        <v>550</v>
      </c>
      <c r="B203" s="31" t="s">
        <v>554</v>
      </c>
      <c r="C203" s="34" t="s">
        <v>555</v>
      </c>
      <c r="D203" s="39" t="s">
        <v>922</v>
      </c>
      <c r="E203" s="39" t="s">
        <v>613</v>
      </c>
    </row>
    <row r="204" spans="1:5" x14ac:dyDescent="0.35">
      <c r="A204" s="31" t="s">
        <v>550</v>
      </c>
      <c r="B204" s="31" t="s">
        <v>556</v>
      </c>
      <c r="C204" s="32" t="s">
        <v>557</v>
      </c>
      <c r="D204" s="39" t="s">
        <v>922</v>
      </c>
      <c r="E204" s="39" t="s">
        <v>613</v>
      </c>
    </row>
    <row r="205" spans="1:5" x14ac:dyDescent="0.35">
      <c r="A205" s="31" t="s">
        <v>292</v>
      </c>
      <c r="B205" s="31" t="s">
        <v>214</v>
      </c>
      <c r="C205" s="34" t="s">
        <v>558</v>
      </c>
      <c r="D205" s="39" t="s">
        <v>922</v>
      </c>
      <c r="E205" s="39" t="s">
        <v>613</v>
      </c>
    </row>
    <row r="206" spans="1:5" x14ac:dyDescent="0.35">
      <c r="A206" s="31" t="s">
        <v>292</v>
      </c>
      <c r="B206" s="31" t="s">
        <v>28</v>
      </c>
      <c r="C206" s="34" t="s">
        <v>559</v>
      </c>
      <c r="D206" s="39" t="s">
        <v>922</v>
      </c>
      <c r="E206" s="39" t="s">
        <v>613</v>
      </c>
    </row>
    <row r="207" spans="1:5" x14ac:dyDescent="0.35">
      <c r="A207" s="31" t="s">
        <v>560</v>
      </c>
      <c r="B207" s="31" t="s">
        <v>561</v>
      </c>
      <c r="C207" s="33" t="s">
        <v>562</v>
      </c>
      <c r="D207" s="39" t="s">
        <v>922</v>
      </c>
      <c r="E207" s="39" t="s">
        <v>613</v>
      </c>
    </row>
    <row r="208" spans="1:5" x14ac:dyDescent="0.35">
      <c r="A208" s="31" t="s">
        <v>292</v>
      </c>
      <c r="B208" s="31" t="s">
        <v>29</v>
      </c>
      <c r="C208" s="33" t="s">
        <v>563</v>
      </c>
      <c r="D208" s="39" t="s">
        <v>922</v>
      </c>
      <c r="E208" s="39" t="s">
        <v>613</v>
      </c>
    </row>
    <row r="209" spans="1:5" x14ac:dyDescent="0.35">
      <c r="A209" s="31" t="s">
        <v>292</v>
      </c>
      <c r="B209" s="31" t="s">
        <v>564</v>
      </c>
      <c r="C209" s="34" t="s">
        <v>565</v>
      </c>
      <c r="D209" s="39" t="s">
        <v>922</v>
      </c>
      <c r="E209" s="39" t="s">
        <v>613</v>
      </c>
    </row>
    <row r="210" spans="1:5" x14ac:dyDescent="0.35">
      <c r="A210" s="31" t="s">
        <v>292</v>
      </c>
      <c r="B210" s="31" t="s">
        <v>566</v>
      </c>
      <c r="C210" s="32" t="s">
        <v>567</v>
      </c>
      <c r="D210" s="39" t="s">
        <v>922</v>
      </c>
      <c r="E210" s="39" t="s">
        <v>613</v>
      </c>
    </row>
    <row r="211" spans="1:5" x14ac:dyDescent="0.35">
      <c r="A211" s="31" t="s">
        <v>292</v>
      </c>
      <c r="B211" s="31" t="s">
        <v>568</v>
      </c>
      <c r="C211" s="35" t="s">
        <v>569</v>
      </c>
      <c r="D211" s="39" t="s">
        <v>922</v>
      </c>
      <c r="E211" s="39" t="s">
        <v>613</v>
      </c>
    </row>
    <row r="212" spans="1:5" x14ac:dyDescent="0.35">
      <c r="A212" s="31" t="s">
        <v>292</v>
      </c>
      <c r="B212" s="31" t="s">
        <v>215</v>
      </c>
      <c r="C212" s="35" t="s">
        <v>570</v>
      </c>
      <c r="D212" s="39" t="s">
        <v>922</v>
      </c>
      <c r="E212" s="39" t="s">
        <v>613</v>
      </c>
    </row>
    <row r="213" spans="1:5" x14ac:dyDescent="0.35">
      <c r="A213" s="31" t="s">
        <v>292</v>
      </c>
      <c r="B213" s="31" t="s">
        <v>571</v>
      </c>
      <c r="C213" s="36" t="s">
        <v>572</v>
      </c>
      <c r="D213" s="39" t="s">
        <v>922</v>
      </c>
      <c r="E213" s="39" t="s">
        <v>613</v>
      </c>
    </row>
    <row r="214" spans="1:5" x14ac:dyDescent="0.35">
      <c r="A214" s="31" t="s">
        <v>340</v>
      </c>
      <c r="B214" s="31" t="s">
        <v>127</v>
      </c>
      <c r="C214" s="32" t="s">
        <v>573</v>
      </c>
      <c r="D214" s="39" t="s">
        <v>922</v>
      </c>
      <c r="E214" s="39" t="s">
        <v>613</v>
      </c>
    </row>
    <row r="215" spans="1:5" x14ac:dyDescent="0.35">
      <c r="A215" s="31" t="s">
        <v>340</v>
      </c>
      <c r="B215" s="31" t="s">
        <v>65</v>
      </c>
      <c r="C215" s="42" t="s">
        <v>574</v>
      </c>
      <c r="D215" s="39" t="s">
        <v>922</v>
      </c>
      <c r="E215" s="39" t="s">
        <v>613</v>
      </c>
    </row>
    <row r="216" spans="1:5" x14ac:dyDescent="0.35">
      <c r="A216" s="31" t="s">
        <v>340</v>
      </c>
      <c r="B216" s="31" t="s">
        <v>575</v>
      </c>
      <c r="C216" s="42" t="s">
        <v>576</v>
      </c>
      <c r="D216" s="39" t="s">
        <v>922</v>
      </c>
      <c r="E216" s="39" t="s">
        <v>613</v>
      </c>
    </row>
    <row r="217" spans="1:5" x14ac:dyDescent="0.35">
      <c r="A217" s="31" t="s">
        <v>340</v>
      </c>
      <c r="B217" s="31" t="s">
        <v>577</v>
      </c>
      <c r="C217" s="42" t="s">
        <v>578</v>
      </c>
      <c r="D217" s="39" t="s">
        <v>922</v>
      </c>
      <c r="E217" s="39" t="s">
        <v>613</v>
      </c>
    </row>
    <row r="218" spans="1:5" x14ac:dyDescent="0.35">
      <c r="A218" s="31" t="s">
        <v>340</v>
      </c>
      <c r="B218" s="31" t="s">
        <v>579</v>
      </c>
      <c r="C218" s="42" t="s">
        <v>580</v>
      </c>
      <c r="D218" s="39" t="s">
        <v>922</v>
      </c>
      <c r="E218" s="39" t="s">
        <v>613</v>
      </c>
    </row>
    <row r="219" spans="1:5" x14ac:dyDescent="0.35">
      <c r="A219" s="31" t="s">
        <v>340</v>
      </c>
      <c r="B219" s="31" t="s">
        <v>581</v>
      </c>
      <c r="C219" s="33" t="s">
        <v>582</v>
      </c>
      <c r="D219" s="39" t="s">
        <v>922</v>
      </c>
      <c r="E219" s="39" t="s">
        <v>613</v>
      </c>
    </row>
    <row r="220" spans="1:5" x14ac:dyDescent="0.35">
      <c r="A220" s="31" t="s">
        <v>340</v>
      </c>
      <c r="B220" s="31" t="s">
        <v>583</v>
      </c>
      <c r="C220" s="33" t="s">
        <v>584</v>
      </c>
      <c r="D220" s="39" t="s">
        <v>922</v>
      </c>
      <c r="E220" s="39" t="s">
        <v>613</v>
      </c>
    </row>
    <row r="221" spans="1:5" x14ac:dyDescent="0.35">
      <c r="A221" s="31" t="s">
        <v>340</v>
      </c>
      <c r="B221" s="31" t="s">
        <v>585</v>
      </c>
      <c r="C221" s="34" t="s">
        <v>586</v>
      </c>
      <c r="D221" s="39" t="s">
        <v>922</v>
      </c>
      <c r="E221" s="39" t="s">
        <v>613</v>
      </c>
    </row>
    <row r="222" spans="1:5" x14ac:dyDescent="0.35">
      <c r="A222" s="31" t="s">
        <v>292</v>
      </c>
      <c r="B222" s="31" t="s">
        <v>66</v>
      </c>
      <c r="C222" s="34" t="s">
        <v>587</v>
      </c>
      <c r="D222" s="39" t="s">
        <v>922</v>
      </c>
      <c r="E222" s="39" t="s">
        <v>613</v>
      </c>
    </row>
    <row r="223" spans="1:5" x14ac:dyDescent="0.35">
      <c r="A223" s="31" t="s">
        <v>340</v>
      </c>
      <c r="B223" s="31" t="s">
        <v>588</v>
      </c>
      <c r="C223" s="32" t="s">
        <v>589</v>
      </c>
      <c r="D223" s="39" t="s">
        <v>922</v>
      </c>
      <c r="E223" s="39" t="s">
        <v>613</v>
      </c>
    </row>
    <row r="224" spans="1:5" x14ac:dyDescent="0.35">
      <c r="A224" s="31" t="s">
        <v>340</v>
      </c>
      <c r="B224" s="31" t="s">
        <v>590</v>
      </c>
      <c r="C224" s="35" t="s">
        <v>591</v>
      </c>
      <c r="D224" s="39" t="s">
        <v>922</v>
      </c>
      <c r="E224" s="39" t="s">
        <v>613</v>
      </c>
    </row>
    <row r="225" spans="1:5" x14ac:dyDescent="0.35">
      <c r="A225" s="31" t="s">
        <v>340</v>
      </c>
      <c r="B225" s="31" t="s">
        <v>592</v>
      </c>
      <c r="C225" s="35" t="s">
        <v>593</v>
      </c>
      <c r="D225" s="39" t="s">
        <v>922</v>
      </c>
      <c r="E225" s="39" t="s">
        <v>613</v>
      </c>
    </row>
    <row r="226" spans="1:5" x14ac:dyDescent="0.35">
      <c r="A226" s="31" t="s">
        <v>340</v>
      </c>
      <c r="B226" s="31" t="s">
        <v>594</v>
      </c>
      <c r="C226" s="36" t="s">
        <v>595</v>
      </c>
      <c r="D226" s="39" t="s">
        <v>922</v>
      </c>
      <c r="E226" s="39" t="s">
        <v>613</v>
      </c>
    </row>
    <row r="227" spans="1:5" x14ac:dyDescent="0.35">
      <c r="A227" s="31" t="s">
        <v>295</v>
      </c>
      <c r="B227" s="31" t="s">
        <v>93</v>
      </c>
      <c r="C227" s="32" t="s">
        <v>596</v>
      </c>
      <c r="D227" s="39" t="s">
        <v>922</v>
      </c>
      <c r="E227" s="39" t="s">
        <v>613</v>
      </c>
    </row>
    <row r="228" spans="1:5" x14ac:dyDescent="0.35">
      <c r="A228" s="31" t="s">
        <v>295</v>
      </c>
      <c r="B228" s="31" t="s">
        <v>597</v>
      </c>
      <c r="C228" s="35" t="s">
        <v>598</v>
      </c>
      <c r="D228" s="39" t="s">
        <v>922</v>
      </c>
      <c r="E228" s="39" t="s">
        <v>613</v>
      </c>
    </row>
    <row r="229" spans="1:5" x14ac:dyDescent="0.35">
      <c r="A229" s="31" t="s">
        <v>295</v>
      </c>
      <c r="B229" s="31" t="s">
        <v>599</v>
      </c>
      <c r="C229" s="35" t="s">
        <v>600</v>
      </c>
      <c r="D229" s="39" t="s">
        <v>922</v>
      </c>
      <c r="E229" s="39" t="s">
        <v>613</v>
      </c>
    </row>
    <row r="230" spans="1:5" x14ac:dyDescent="0.35">
      <c r="A230" s="31" t="s">
        <v>295</v>
      </c>
      <c r="B230" s="31" t="s">
        <v>601</v>
      </c>
      <c r="C230" s="36" t="s">
        <v>602</v>
      </c>
      <c r="D230" s="39" t="s">
        <v>922</v>
      </c>
      <c r="E230" s="39" t="s">
        <v>613</v>
      </c>
    </row>
    <row r="231" spans="1:5" x14ac:dyDescent="0.35">
      <c r="A231" s="31" t="s">
        <v>295</v>
      </c>
      <c r="B231" s="31" t="s">
        <v>149</v>
      </c>
      <c r="C231" s="36" t="s">
        <v>603</v>
      </c>
      <c r="D231" s="39" t="s">
        <v>922</v>
      </c>
      <c r="E231" s="39" t="s">
        <v>613</v>
      </c>
    </row>
    <row r="232" spans="1:5" x14ac:dyDescent="0.35">
      <c r="A232" s="31" t="s">
        <v>292</v>
      </c>
      <c r="B232" s="31" t="s">
        <v>604</v>
      </c>
      <c r="C232" s="40" t="s">
        <v>605</v>
      </c>
      <c r="D232" s="39" t="s">
        <v>922</v>
      </c>
      <c r="E232" s="39" t="s">
        <v>613</v>
      </c>
    </row>
    <row r="233" spans="1:5" x14ac:dyDescent="0.35">
      <c r="A233" s="31" t="s">
        <v>292</v>
      </c>
      <c r="B233" s="31" t="s">
        <v>606</v>
      </c>
      <c r="C233" s="40" t="s">
        <v>607</v>
      </c>
      <c r="D233" s="39" t="s">
        <v>922</v>
      </c>
      <c r="E233" s="39" t="s">
        <v>613</v>
      </c>
    </row>
    <row r="234" spans="1:5" x14ac:dyDescent="0.35">
      <c r="A234" s="31" t="s">
        <v>292</v>
      </c>
      <c r="B234" s="31" t="s">
        <v>608</v>
      </c>
      <c r="C234" s="40" t="s">
        <v>609</v>
      </c>
      <c r="D234" s="39" t="s">
        <v>922</v>
      </c>
      <c r="E234" s="39" t="s">
        <v>613</v>
      </c>
    </row>
    <row r="235" spans="1:5" x14ac:dyDescent="0.35">
      <c r="A235" s="31" t="s">
        <v>295</v>
      </c>
      <c r="B235" s="31" t="s">
        <v>610</v>
      </c>
      <c r="C235" s="40" t="s">
        <v>611</v>
      </c>
      <c r="D235" s="39" t="s">
        <v>922</v>
      </c>
      <c r="E235" s="39" t="s">
        <v>613</v>
      </c>
    </row>
    <row r="236" spans="1:5" x14ac:dyDescent="0.35">
      <c r="A236" s="31" t="s">
        <v>292</v>
      </c>
      <c r="B236" s="31" t="s">
        <v>612</v>
      </c>
      <c r="C236" s="39" t="s">
        <v>613</v>
      </c>
      <c r="D236" s="39" t="s">
        <v>922</v>
      </c>
      <c r="E236" s="39" t="s">
        <v>613</v>
      </c>
    </row>
    <row r="237" spans="1:5" x14ac:dyDescent="0.35">
      <c r="A237" s="31" t="s">
        <v>295</v>
      </c>
      <c r="B237" s="31" t="s">
        <v>614</v>
      </c>
      <c r="C237" s="41" t="s">
        <v>614</v>
      </c>
      <c r="E237" s="47"/>
    </row>
    <row r="238" spans="1:5" x14ac:dyDescent="0.35">
      <c r="A238" s="31" t="s">
        <v>324</v>
      </c>
      <c r="B238" s="31" t="s">
        <v>42</v>
      </c>
      <c r="C238" s="40" t="s">
        <v>615</v>
      </c>
      <c r="D238" s="40" t="s">
        <v>615</v>
      </c>
      <c r="E238" s="40" t="s">
        <v>615</v>
      </c>
    </row>
    <row r="239" spans="1:5" x14ac:dyDescent="0.35">
      <c r="A239" s="31" t="s">
        <v>295</v>
      </c>
      <c r="B239" s="31" t="s">
        <v>616</v>
      </c>
      <c r="C239" s="40" t="s">
        <v>617</v>
      </c>
      <c r="D239" s="39" t="s">
        <v>619</v>
      </c>
      <c r="E239" s="39" t="s">
        <v>619</v>
      </c>
    </row>
    <row r="240" spans="1:5" x14ac:dyDescent="0.35">
      <c r="A240" s="31" t="s">
        <v>324</v>
      </c>
      <c r="B240" s="31" t="s">
        <v>618</v>
      </c>
      <c r="C240" s="39" t="s">
        <v>619</v>
      </c>
      <c r="D240" s="39" t="s">
        <v>619</v>
      </c>
      <c r="E240" s="39" t="s">
        <v>619</v>
      </c>
    </row>
    <row r="241" spans="1:5" x14ac:dyDescent="0.35">
      <c r="A241" s="31" t="s">
        <v>295</v>
      </c>
      <c r="B241" s="31" t="s">
        <v>34</v>
      </c>
      <c r="C241" s="42" t="s">
        <v>620</v>
      </c>
      <c r="D241" s="35" t="s">
        <v>677</v>
      </c>
      <c r="E241" s="41" t="s">
        <v>807</v>
      </c>
    </row>
    <row r="242" spans="1:5" x14ac:dyDescent="0.35">
      <c r="A242" s="31" t="s">
        <v>295</v>
      </c>
      <c r="B242" s="31" t="s">
        <v>621</v>
      </c>
      <c r="C242" s="43" t="s">
        <v>622</v>
      </c>
      <c r="D242" s="35" t="s">
        <v>677</v>
      </c>
      <c r="E242" s="41" t="s">
        <v>807</v>
      </c>
    </row>
    <row r="243" spans="1:5" x14ac:dyDescent="0.35">
      <c r="A243" s="31" t="s">
        <v>295</v>
      </c>
      <c r="B243" s="31" t="s">
        <v>623</v>
      </c>
      <c r="C243" s="43" t="s">
        <v>624</v>
      </c>
      <c r="D243" s="35" t="s">
        <v>677</v>
      </c>
      <c r="E243" s="41" t="s">
        <v>807</v>
      </c>
    </row>
    <row r="244" spans="1:5" x14ac:dyDescent="0.35">
      <c r="A244" s="31" t="s">
        <v>295</v>
      </c>
      <c r="B244" s="31" t="s">
        <v>625</v>
      </c>
      <c r="C244" s="43" t="s">
        <v>626</v>
      </c>
      <c r="D244" s="35" t="s">
        <v>677</v>
      </c>
      <c r="E244" s="41" t="s">
        <v>807</v>
      </c>
    </row>
    <row r="245" spans="1:5" x14ac:dyDescent="0.35">
      <c r="A245" s="31" t="s">
        <v>295</v>
      </c>
      <c r="B245" s="31" t="s">
        <v>627</v>
      </c>
      <c r="C245" s="43" t="s">
        <v>628</v>
      </c>
      <c r="D245" s="35" t="s">
        <v>677</v>
      </c>
      <c r="E245" s="41" t="s">
        <v>807</v>
      </c>
    </row>
    <row r="246" spans="1:5" x14ac:dyDescent="0.35">
      <c r="A246" s="31" t="s">
        <v>295</v>
      </c>
      <c r="B246" s="31" t="s">
        <v>629</v>
      </c>
      <c r="C246" s="43" t="s">
        <v>630</v>
      </c>
      <c r="D246" s="35" t="s">
        <v>677</v>
      </c>
      <c r="E246" s="41" t="s">
        <v>807</v>
      </c>
    </row>
    <row r="247" spans="1:5" x14ac:dyDescent="0.35">
      <c r="A247" s="31" t="s">
        <v>295</v>
      </c>
      <c r="B247" s="31" t="s">
        <v>631</v>
      </c>
      <c r="C247" s="43" t="s">
        <v>632</v>
      </c>
      <c r="D247" s="35" t="s">
        <v>677</v>
      </c>
      <c r="E247" s="41" t="s">
        <v>807</v>
      </c>
    </row>
    <row r="248" spans="1:5" x14ac:dyDescent="0.35">
      <c r="A248" s="31" t="s">
        <v>295</v>
      </c>
      <c r="B248" s="31" t="s">
        <v>633</v>
      </c>
      <c r="C248" s="42" t="s">
        <v>634</v>
      </c>
      <c r="D248" s="35" t="s">
        <v>677</v>
      </c>
      <c r="E248" s="41" t="s">
        <v>807</v>
      </c>
    </row>
    <row r="249" spans="1:5" x14ac:dyDescent="0.35">
      <c r="A249" s="31" t="s">
        <v>295</v>
      </c>
      <c r="B249" s="31" t="s">
        <v>635</v>
      </c>
      <c r="C249" s="33" t="s">
        <v>620</v>
      </c>
      <c r="D249" s="35" t="s">
        <v>677</v>
      </c>
      <c r="E249" s="41" t="s">
        <v>807</v>
      </c>
    </row>
    <row r="250" spans="1:5" x14ac:dyDescent="0.35">
      <c r="A250" s="31" t="s">
        <v>295</v>
      </c>
      <c r="B250" s="31" t="s">
        <v>137</v>
      </c>
      <c r="C250" s="33" t="s">
        <v>636</v>
      </c>
      <c r="D250" s="35" t="s">
        <v>677</v>
      </c>
      <c r="E250" s="41" t="s">
        <v>807</v>
      </c>
    </row>
    <row r="251" spans="1:5" x14ac:dyDescent="0.35">
      <c r="A251" s="31" t="s">
        <v>292</v>
      </c>
      <c r="B251" s="31" t="s">
        <v>637</v>
      </c>
      <c r="C251" s="33" t="s">
        <v>638</v>
      </c>
      <c r="D251" s="35" t="s">
        <v>677</v>
      </c>
      <c r="E251" s="41" t="s">
        <v>807</v>
      </c>
    </row>
    <row r="252" spans="1:5" x14ac:dyDescent="0.35">
      <c r="A252" s="31" t="s">
        <v>295</v>
      </c>
      <c r="B252" s="31" t="s">
        <v>639</v>
      </c>
      <c r="C252" s="34" t="s">
        <v>640</v>
      </c>
      <c r="D252" s="35" t="s">
        <v>677</v>
      </c>
      <c r="E252" s="41" t="s">
        <v>807</v>
      </c>
    </row>
    <row r="253" spans="1:5" x14ac:dyDescent="0.35">
      <c r="A253" s="31" t="s">
        <v>292</v>
      </c>
      <c r="B253" s="31" t="s">
        <v>641</v>
      </c>
      <c r="C253" s="33" t="s">
        <v>642</v>
      </c>
      <c r="D253" s="35" t="s">
        <v>677</v>
      </c>
      <c r="E253" s="41" t="s">
        <v>807</v>
      </c>
    </row>
    <row r="254" spans="1:5" x14ac:dyDescent="0.35">
      <c r="A254" s="31" t="s">
        <v>292</v>
      </c>
      <c r="B254" s="31" t="s">
        <v>643</v>
      </c>
      <c r="C254" s="33" t="s">
        <v>644</v>
      </c>
      <c r="D254" s="35" t="s">
        <v>677</v>
      </c>
      <c r="E254" s="41" t="s">
        <v>807</v>
      </c>
    </row>
    <row r="255" spans="1:5" x14ac:dyDescent="0.35">
      <c r="A255" s="31" t="s">
        <v>292</v>
      </c>
      <c r="B255" s="31" t="s">
        <v>645</v>
      </c>
      <c r="C255" s="33" t="s">
        <v>646</v>
      </c>
      <c r="D255" s="35" t="s">
        <v>677</v>
      </c>
      <c r="E255" s="41" t="s">
        <v>807</v>
      </c>
    </row>
    <row r="256" spans="1:5" x14ac:dyDescent="0.35">
      <c r="A256" s="31" t="s">
        <v>292</v>
      </c>
      <c r="B256" s="31" t="s">
        <v>647</v>
      </c>
      <c r="C256" s="34" t="s">
        <v>642</v>
      </c>
      <c r="D256" s="35" t="s">
        <v>677</v>
      </c>
      <c r="E256" s="41" t="s">
        <v>807</v>
      </c>
    </row>
    <row r="257" spans="1:5" x14ac:dyDescent="0.35">
      <c r="A257" s="31" t="s">
        <v>292</v>
      </c>
      <c r="B257" s="31" t="s">
        <v>648</v>
      </c>
      <c r="C257" s="33" t="s">
        <v>649</v>
      </c>
      <c r="D257" s="35" t="s">
        <v>677</v>
      </c>
      <c r="E257" s="41" t="s">
        <v>807</v>
      </c>
    </row>
    <row r="258" spans="1:5" x14ac:dyDescent="0.35">
      <c r="A258" s="31" t="s">
        <v>295</v>
      </c>
      <c r="B258" s="31" t="s">
        <v>650</v>
      </c>
      <c r="C258" s="33" t="s">
        <v>651</v>
      </c>
      <c r="D258" s="35" t="s">
        <v>677</v>
      </c>
      <c r="E258" s="41" t="s">
        <v>807</v>
      </c>
    </row>
    <row r="259" spans="1:5" x14ac:dyDescent="0.35">
      <c r="A259" s="31" t="s">
        <v>421</v>
      </c>
      <c r="B259" s="31" t="s">
        <v>652</v>
      </c>
      <c r="C259" s="33" t="s">
        <v>653</v>
      </c>
      <c r="D259" s="35" t="s">
        <v>677</v>
      </c>
      <c r="E259" s="41" t="s">
        <v>807</v>
      </c>
    </row>
    <row r="260" spans="1:5" x14ac:dyDescent="0.35">
      <c r="A260" s="31" t="s">
        <v>292</v>
      </c>
      <c r="B260" s="31" t="s">
        <v>654</v>
      </c>
      <c r="C260" s="34" t="s">
        <v>655</v>
      </c>
      <c r="D260" s="35" t="s">
        <v>677</v>
      </c>
      <c r="E260" s="41" t="s">
        <v>807</v>
      </c>
    </row>
    <row r="261" spans="1:5" x14ac:dyDescent="0.35">
      <c r="A261" s="31" t="s">
        <v>324</v>
      </c>
      <c r="B261" s="31" t="s">
        <v>656</v>
      </c>
      <c r="C261" s="42" t="s">
        <v>657</v>
      </c>
      <c r="D261" s="35" t="s">
        <v>677</v>
      </c>
      <c r="E261" s="41" t="s">
        <v>807</v>
      </c>
    </row>
    <row r="262" spans="1:5" x14ac:dyDescent="0.35">
      <c r="A262" s="31" t="s">
        <v>324</v>
      </c>
      <c r="B262" s="31" t="s">
        <v>658</v>
      </c>
      <c r="C262" s="42" t="s">
        <v>659</v>
      </c>
      <c r="D262" s="35" t="s">
        <v>677</v>
      </c>
      <c r="E262" s="41" t="s">
        <v>807</v>
      </c>
    </row>
    <row r="263" spans="1:5" x14ac:dyDescent="0.35">
      <c r="A263" s="31" t="s">
        <v>324</v>
      </c>
      <c r="B263" s="31" t="s">
        <v>660</v>
      </c>
      <c r="C263" s="42" t="s">
        <v>661</v>
      </c>
      <c r="D263" s="35" t="s">
        <v>677</v>
      </c>
      <c r="E263" s="41" t="s">
        <v>807</v>
      </c>
    </row>
    <row r="264" spans="1:5" x14ac:dyDescent="0.35">
      <c r="A264" s="31" t="s">
        <v>324</v>
      </c>
      <c r="B264" s="31" t="s">
        <v>36</v>
      </c>
      <c r="C264" s="42" t="s">
        <v>662</v>
      </c>
      <c r="D264" s="35" t="s">
        <v>677</v>
      </c>
      <c r="E264" s="41" t="s">
        <v>807</v>
      </c>
    </row>
    <row r="265" spans="1:5" x14ac:dyDescent="0.35">
      <c r="A265" s="31" t="s">
        <v>324</v>
      </c>
      <c r="B265" s="31" t="s">
        <v>663</v>
      </c>
      <c r="C265" s="33" t="s">
        <v>662</v>
      </c>
      <c r="D265" s="35" t="s">
        <v>677</v>
      </c>
      <c r="E265" s="41" t="s">
        <v>807</v>
      </c>
    </row>
    <row r="266" spans="1:5" x14ac:dyDescent="0.35">
      <c r="A266" s="31" t="s">
        <v>324</v>
      </c>
      <c r="B266" s="31" t="s">
        <v>72</v>
      </c>
      <c r="C266" s="42" t="s">
        <v>664</v>
      </c>
      <c r="D266" s="35" t="s">
        <v>677</v>
      </c>
      <c r="E266" s="41" t="s">
        <v>807</v>
      </c>
    </row>
    <row r="267" spans="1:5" x14ac:dyDescent="0.35">
      <c r="A267" s="31" t="s">
        <v>324</v>
      </c>
      <c r="B267" s="31" t="s">
        <v>665</v>
      </c>
      <c r="C267" s="42" t="s">
        <v>666</v>
      </c>
      <c r="D267" s="35" t="s">
        <v>677</v>
      </c>
      <c r="E267" s="41" t="s">
        <v>807</v>
      </c>
    </row>
    <row r="268" spans="1:5" x14ac:dyDescent="0.35">
      <c r="A268" s="31" t="s">
        <v>324</v>
      </c>
      <c r="B268" s="31" t="s">
        <v>667</v>
      </c>
      <c r="C268" s="33" t="s">
        <v>667</v>
      </c>
      <c r="D268" s="35" t="s">
        <v>677</v>
      </c>
      <c r="E268" s="41" t="s">
        <v>807</v>
      </c>
    </row>
    <row r="269" spans="1:5" x14ac:dyDescent="0.35">
      <c r="A269" s="31" t="s">
        <v>324</v>
      </c>
      <c r="B269" s="31" t="s">
        <v>668</v>
      </c>
      <c r="C269" s="33" t="s">
        <v>669</v>
      </c>
      <c r="D269" s="35" t="s">
        <v>677</v>
      </c>
      <c r="E269" s="41" t="s">
        <v>807</v>
      </c>
    </row>
    <row r="270" spans="1:5" x14ac:dyDescent="0.35">
      <c r="A270" s="31" t="s">
        <v>324</v>
      </c>
      <c r="B270" s="31" t="s">
        <v>670</v>
      </c>
      <c r="C270" s="34" t="s">
        <v>671</v>
      </c>
      <c r="D270" s="35" t="s">
        <v>677</v>
      </c>
      <c r="E270" s="41" t="s">
        <v>807</v>
      </c>
    </row>
    <row r="271" spans="1:5" x14ac:dyDescent="0.35">
      <c r="A271" s="31" t="s">
        <v>295</v>
      </c>
      <c r="B271" s="31" t="s">
        <v>672</v>
      </c>
      <c r="C271" s="32" t="s">
        <v>673</v>
      </c>
      <c r="D271" s="35" t="s">
        <v>677</v>
      </c>
      <c r="E271" s="41" t="s">
        <v>807</v>
      </c>
    </row>
    <row r="272" spans="1:5" x14ac:dyDescent="0.35">
      <c r="A272" s="31" t="s">
        <v>292</v>
      </c>
      <c r="B272" s="31" t="s">
        <v>40</v>
      </c>
      <c r="C272" s="34" t="s">
        <v>674</v>
      </c>
      <c r="D272" s="35" t="s">
        <v>677</v>
      </c>
      <c r="E272" s="41" t="s">
        <v>807</v>
      </c>
    </row>
    <row r="273" spans="1:5" x14ac:dyDescent="0.35">
      <c r="A273" s="31" t="s">
        <v>292</v>
      </c>
      <c r="B273" s="31" t="s">
        <v>219</v>
      </c>
      <c r="C273" s="34" t="s">
        <v>675</v>
      </c>
      <c r="D273" s="35" t="s">
        <v>677</v>
      </c>
      <c r="E273" s="41" t="s">
        <v>807</v>
      </c>
    </row>
    <row r="274" spans="1:5" x14ac:dyDescent="0.35">
      <c r="A274" s="31" t="s">
        <v>292</v>
      </c>
      <c r="B274" s="31" t="s">
        <v>676</v>
      </c>
      <c r="C274" s="32" t="s">
        <v>676</v>
      </c>
      <c r="D274" s="35" t="s">
        <v>677</v>
      </c>
      <c r="E274" s="41" t="s">
        <v>807</v>
      </c>
    </row>
    <row r="275" spans="1:5" x14ac:dyDescent="0.35">
      <c r="A275" s="31" t="s">
        <v>295</v>
      </c>
      <c r="B275" s="31" t="s">
        <v>677</v>
      </c>
      <c r="C275" s="35" t="s">
        <v>677</v>
      </c>
      <c r="D275" s="35" t="s">
        <v>677</v>
      </c>
      <c r="E275" s="41" t="s">
        <v>807</v>
      </c>
    </row>
    <row r="276" spans="1:5" x14ac:dyDescent="0.35">
      <c r="A276" s="31" t="s">
        <v>295</v>
      </c>
      <c r="B276" s="31" t="s">
        <v>43</v>
      </c>
      <c r="C276" s="33" t="s">
        <v>678</v>
      </c>
      <c r="D276" s="35" t="s">
        <v>694</v>
      </c>
      <c r="E276" s="41" t="s">
        <v>807</v>
      </c>
    </row>
    <row r="277" spans="1:5" x14ac:dyDescent="0.35">
      <c r="A277" s="31" t="s">
        <v>295</v>
      </c>
      <c r="B277" s="31" t="s">
        <v>679</v>
      </c>
      <c r="C277" s="33" t="s">
        <v>680</v>
      </c>
      <c r="D277" s="35" t="s">
        <v>694</v>
      </c>
      <c r="E277" s="41" t="s">
        <v>807</v>
      </c>
    </row>
    <row r="278" spans="1:5" x14ac:dyDescent="0.35">
      <c r="A278" s="31" t="s">
        <v>295</v>
      </c>
      <c r="B278" s="31" t="s">
        <v>681</v>
      </c>
      <c r="C278" s="34" t="s">
        <v>681</v>
      </c>
      <c r="D278" s="35" t="s">
        <v>694</v>
      </c>
      <c r="E278" s="41" t="s">
        <v>807</v>
      </c>
    </row>
    <row r="279" spans="1:5" x14ac:dyDescent="0.35">
      <c r="A279" s="31" t="s">
        <v>295</v>
      </c>
      <c r="B279" s="31" t="s">
        <v>41</v>
      </c>
      <c r="C279" s="42" t="s">
        <v>682</v>
      </c>
      <c r="D279" s="35" t="s">
        <v>694</v>
      </c>
      <c r="E279" s="41" t="s">
        <v>807</v>
      </c>
    </row>
    <row r="280" spans="1:5" x14ac:dyDescent="0.35">
      <c r="A280" s="31" t="s">
        <v>295</v>
      </c>
      <c r="B280" s="31" t="s">
        <v>683</v>
      </c>
      <c r="C280" s="42" t="s">
        <v>684</v>
      </c>
      <c r="D280" s="35" t="s">
        <v>694</v>
      </c>
      <c r="E280" s="41" t="s">
        <v>807</v>
      </c>
    </row>
    <row r="281" spans="1:5" x14ac:dyDescent="0.35">
      <c r="A281" s="31" t="s">
        <v>295</v>
      </c>
      <c r="B281" s="31" t="s">
        <v>685</v>
      </c>
      <c r="C281" s="42" t="s">
        <v>636</v>
      </c>
      <c r="D281" s="35" t="s">
        <v>694</v>
      </c>
      <c r="E281" s="41" t="s">
        <v>807</v>
      </c>
    </row>
    <row r="282" spans="1:5" x14ac:dyDescent="0.35">
      <c r="A282" s="31" t="s">
        <v>295</v>
      </c>
      <c r="B282" s="31" t="s">
        <v>686</v>
      </c>
      <c r="C282" s="33" t="s">
        <v>682</v>
      </c>
      <c r="D282" s="35" t="s">
        <v>694</v>
      </c>
      <c r="E282" s="41" t="s">
        <v>807</v>
      </c>
    </row>
    <row r="283" spans="1:5" x14ac:dyDescent="0.35">
      <c r="A283" s="31" t="s">
        <v>295</v>
      </c>
      <c r="B283" s="31" t="s">
        <v>687</v>
      </c>
      <c r="C283" s="33" t="s">
        <v>688</v>
      </c>
      <c r="D283" s="35" t="s">
        <v>694</v>
      </c>
      <c r="E283" s="41" t="s">
        <v>807</v>
      </c>
    </row>
    <row r="284" spans="1:5" x14ac:dyDescent="0.35">
      <c r="A284" s="31" t="s">
        <v>295</v>
      </c>
      <c r="B284" s="31" t="s">
        <v>689</v>
      </c>
      <c r="C284" s="34" t="s">
        <v>682</v>
      </c>
      <c r="D284" s="35" t="s">
        <v>694</v>
      </c>
      <c r="E284" s="41" t="s">
        <v>807</v>
      </c>
    </row>
    <row r="285" spans="1:5" x14ac:dyDescent="0.35">
      <c r="A285" s="31" t="s">
        <v>295</v>
      </c>
      <c r="B285" s="31" t="s">
        <v>690</v>
      </c>
      <c r="C285" s="32" t="s">
        <v>691</v>
      </c>
      <c r="D285" s="35" t="s">
        <v>694</v>
      </c>
      <c r="E285" s="41" t="s">
        <v>807</v>
      </c>
    </row>
    <row r="286" spans="1:5" x14ac:dyDescent="0.35">
      <c r="A286" s="31" t="s">
        <v>295</v>
      </c>
      <c r="B286" s="31" t="s">
        <v>44</v>
      </c>
      <c r="C286" s="32" t="s">
        <v>692</v>
      </c>
      <c r="D286" s="35" t="s">
        <v>694</v>
      </c>
      <c r="E286" s="41" t="s">
        <v>807</v>
      </c>
    </row>
    <row r="287" spans="1:5" x14ac:dyDescent="0.35">
      <c r="A287" s="31" t="s">
        <v>295</v>
      </c>
      <c r="B287" s="31" t="s">
        <v>693</v>
      </c>
      <c r="C287" s="35" t="s">
        <v>694</v>
      </c>
      <c r="D287" s="35" t="s">
        <v>694</v>
      </c>
      <c r="E287" s="41" t="s">
        <v>807</v>
      </c>
    </row>
    <row r="288" spans="1:5" x14ac:dyDescent="0.35">
      <c r="A288" s="31" t="s">
        <v>295</v>
      </c>
      <c r="B288" s="31" t="s">
        <v>695</v>
      </c>
      <c r="C288" s="36" t="s">
        <v>695</v>
      </c>
      <c r="D288" s="36" t="s">
        <v>749</v>
      </c>
      <c r="E288" s="41" t="s">
        <v>807</v>
      </c>
    </row>
    <row r="289" spans="1:5" x14ac:dyDescent="0.35">
      <c r="A289" s="31" t="s">
        <v>295</v>
      </c>
      <c r="B289" s="31" t="s">
        <v>132</v>
      </c>
      <c r="C289" s="33" t="s">
        <v>696</v>
      </c>
      <c r="D289" s="36" t="s">
        <v>749</v>
      </c>
      <c r="E289" s="41" t="s">
        <v>807</v>
      </c>
    </row>
    <row r="290" spans="1:5" x14ac:dyDescent="0.35">
      <c r="A290" s="31" t="s">
        <v>295</v>
      </c>
      <c r="B290" s="31" t="s">
        <v>136</v>
      </c>
      <c r="C290" s="33" t="s">
        <v>697</v>
      </c>
      <c r="D290" s="36" t="s">
        <v>749</v>
      </c>
      <c r="E290" s="41" t="s">
        <v>807</v>
      </c>
    </row>
    <row r="291" spans="1:5" x14ac:dyDescent="0.35">
      <c r="A291" s="31" t="s">
        <v>295</v>
      </c>
      <c r="B291" s="31" t="s">
        <v>133</v>
      </c>
      <c r="C291" s="33" t="s">
        <v>698</v>
      </c>
      <c r="D291" s="36" t="s">
        <v>749</v>
      </c>
      <c r="E291" s="41" t="s">
        <v>807</v>
      </c>
    </row>
    <row r="292" spans="1:5" x14ac:dyDescent="0.35">
      <c r="A292" s="31" t="s">
        <v>295</v>
      </c>
      <c r="B292" s="31" t="s">
        <v>31</v>
      </c>
      <c r="C292" s="33" t="s">
        <v>699</v>
      </c>
      <c r="D292" s="36" t="s">
        <v>749</v>
      </c>
      <c r="E292" s="41" t="s">
        <v>807</v>
      </c>
    </row>
    <row r="293" spans="1:5" x14ac:dyDescent="0.35">
      <c r="A293" s="31" t="s">
        <v>295</v>
      </c>
      <c r="B293" s="31" t="s">
        <v>129</v>
      </c>
      <c r="C293" s="33" t="s">
        <v>700</v>
      </c>
      <c r="D293" s="36" t="s">
        <v>749</v>
      </c>
      <c r="E293" s="41" t="s">
        <v>807</v>
      </c>
    </row>
    <row r="294" spans="1:5" x14ac:dyDescent="0.35">
      <c r="A294" s="31" t="s">
        <v>295</v>
      </c>
      <c r="B294" s="31" t="s">
        <v>134</v>
      </c>
      <c r="C294" s="33" t="s">
        <v>701</v>
      </c>
      <c r="D294" s="36" t="s">
        <v>749</v>
      </c>
      <c r="E294" s="41" t="s">
        <v>807</v>
      </c>
    </row>
    <row r="295" spans="1:5" x14ac:dyDescent="0.35">
      <c r="A295" s="31" t="s">
        <v>295</v>
      </c>
      <c r="B295" s="31" t="s">
        <v>130</v>
      </c>
      <c r="C295" s="33" t="s">
        <v>702</v>
      </c>
      <c r="D295" s="36" t="s">
        <v>749</v>
      </c>
      <c r="E295" s="41" t="s">
        <v>807</v>
      </c>
    </row>
    <row r="296" spans="1:5" x14ac:dyDescent="0.35">
      <c r="A296" s="31" t="s">
        <v>295</v>
      </c>
      <c r="B296" s="31" t="s">
        <v>135</v>
      </c>
      <c r="C296" s="33" t="s">
        <v>703</v>
      </c>
      <c r="D296" s="36" t="s">
        <v>749</v>
      </c>
      <c r="E296" s="41" t="s">
        <v>807</v>
      </c>
    </row>
    <row r="297" spans="1:5" x14ac:dyDescent="0.35">
      <c r="A297" s="31" t="s">
        <v>295</v>
      </c>
      <c r="B297" s="31" t="s">
        <v>131</v>
      </c>
      <c r="C297" s="33" t="s">
        <v>704</v>
      </c>
      <c r="D297" s="36" t="s">
        <v>749</v>
      </c>
      <c r="E297" s="41" t="s">
        <v>807</v>
      </c>
    </row>
    <row r="298" spans="1:5" x14ac:dyDescent="0.35">
      <c r="A298" s="31" t="s">
        <v>295</v>
      </c>
      <c r="B298" s="31" t="s">
        <v>705</v>
      </c>
      <c r="C298" s="34" t="s">
        <v>706</v>
      </c>
      <c r="D298" s="36" t="s">
        <v>749</v>
      </c>
      <c r="E298" s="41" t="s">
        <v>807</v>
      </c>
    </row>
    <row r="299" spans="1:5" x14ac:dyDescent="0.35">
      <c r="A299" s="31" t="s">
        <v>295</v>
      </c>
      <c r="B299" s="31" t="s">
        <v>707</v>
      </c>
      <c r="C299" s="34" t="s">
        <v>708</v>
      </c>
      <c r="D299" s="36" t="s">
        <v>749</v>
      </c>
      <c r="E299" s="41" t="s">
        <v>807</v>
      </c>
    </row>
    <row r="300" spans="1:5" x14ac:dyDescent="0.35">
      <c r="A300" s="31" t="s">
        <v>295</v>
      </c>
      <c r="B300" s="31" t="s">
        <v>709</v>
      </c>
      <c r="C300" s="34" t="s">
        <v>710</v>
      </c>
      <c r="D300" s="36" t="s">
        <v>749</v>
      </c>
      <c r="E300" s="41" t="s">
        <v>807</v>
      </c>
    </row>
    <row r="301" spans="1:5" x14ac:dyDescent="0.35">
      <c r="A301" s="31" t="s">
        <v>711</v>
      </c>
      <c r="B301" s="31" t="s">
        <v>107</v>
      </c>
      <c r="C301" s="34" t="s">
        <v>712</v>
      </c>
      <c r="D301" s="36" t="s">
        <v>749</v>
      </c>
      <c r="E301" s="41" t="s">
        <v>807</v>
      </c>
    </row>
    <row r="302" spans="1:5" x14ac:dyDescent="0.35">
      <c r="A302" s="31" t="s">
        <v>292</v>
      </c>
      <c r="B302" s="31" t="s">
        <v>120</v>
      </c>
      <c r="C302" s="34" t="s">
        <v>713</v>
      </c>
      <c r="D302" s="36" t="s">
        <v>749</v>
      </c>
      <c r="E302" s="41" t="s">
        <v>807</v>
      </c>
    </row>
    <row r="303" spans="1:5" x14ac:dyDescent="0.35">
      <c r="A303" s="31" t="s">
        <v>292</v>
      </c>
      <c r="B303" s="31" t="s">
        <v>714</v>
      </c>
      <c r="C303" s="34" t="s">
        <v>715</v>
      </c>
      <c r="D303" s="36" t="s">
        <v>749</v>
      </c>
      <c r="E303" s="41" t="s">
        <v>807</v>
      </c>
    </row>
    <row r="304" spans="1:5" x14ac:dyDescent="0.35">
      <c r="A304" s="31" t="s">
        <v>295</v>
      </c>
      <c r="B304" s="31" t="s">
        <v>716</v>
      </c>
      <c r="C304" s="32" t="s">
        <v>717</v>
      </c>
      <c r="D304" s="36" t="s">
        <v>749</v>
      </c>
      <c r="E304" s="41" t="s">
        <v>807</v>
      </c>
    </row>
    <row r="305" spans="1:5" x14ac:dyDescent="0.35">
      <c r="A305" s="31" t="s">
        <v>292</v>
      </c>
      <c r="B305" s="31" t="s">
        <v>35</v>
      </c>
      <c r="C305" s="34" t="s">
        <v>718</v>
      </c>
      <c r="D305" s="36" t="s">
        <v>749</v>
      </c>
      <c r="E305" s="41" t="s">
        <v>807</v>
      </c>
    </row>
    <row r="306" spans="1:5" x14ac:dyDescent="0.35">
      <c r="A306" s="31" t="s">
        <v>292</v>
      </c>
      <c r="B306" s="31" t="s">
        <v>121</v>
      </c>
      <c r="C306" s="34" t="s">
        <v>719</v>
      </c>
      <c r="D306" s="36" t="s">
        <v>749</v>
      </c>
      <c r="E306" s="41" t="s">
        <v>807</v>
      </c>
    </row>
    <row r="307" spans="1:5" x14ac:dyDescent="0.35">
      <c r="A307" s="31" t="s">
        <v>292</v>
      </c>
      <c r="B307" s="31" t="s">
        <v>720</v>
      </c>
      <c r="C307" s="32" t="s">
        <v>721</v>
      </c>
      <c r="D307" s="36" t="s">
        <v>749</v>
      </c>
      <c r="E307" s="41" t="s">
        <v>807</v>
      </c>
    </row>
    <row r="308" spans="1:5" x14ac:dyDescent="0.35">
      <c r="A308" s="31" t="s">
        <v>295</v>
      </c>
      <c r="B308" s="31" t="s">
        <v>722</v>
      </c>
      <c r="C308" s="35" t="s">
        <v>723</v>
      </c>
      <c r="D308" s="36" t="s">
        <v>749</v>
      </c>
      <c r="E308" s="41" t="s">
        <v>807</v>
      </c>
    </row>
    <row r="309" spans="1:5" x14ac:dyDescent="0.35">
      <c r="A309" s="31" t="s">
        <v>324</v>
      </c>
      <c r="B309" s="31" t="s">
        <v>724</v>
      </c>
      <c r="C309" s="34" t="s">
        <v>725</v>
      </c>
      <c r="D309" s="36" t="s">
        <v>749</v>
      </c>
      <c r="E309" s="41" t="s">
        <v>807</v>
      </c>
    </row>
    <row r="310" spans="1:5" x14ac:dyDescent="0.35">
      <c r="A310" s="31" t="s">
        <v>324</v>
      </c>
      <c r="B310" s="31" t="s">
        <v>726</v>
      </c>
      <c r="C310" s="34" t="s">
        <v>727</v>
      </c>
      <c r="D310" s="36" t="s">
        <v>749</v>
      </c>
      <c r="E310" s="41" t="s">
        <v>807</v>
      </c>
    </row>
    <row r="311" spans="1:5" x14ac:dyDescent="0.35">
      <c r="A311" s="31" t="s">
        <v>324</v>
      </c>
      <c r="B311" s="31" t="s">
        <v>728</v>
      </c>
      <c r="C311" s="34" t="s">
        <v>729</v>
      </c>
      <c r="D311" s="36" t="s">
        <v>749</v>
      </c>
      <c r="E311" s="41" t="s">
        <v>807</v>
      </c>
    </row>
    <row r="312" spans="1:5" x14ac:dyDescent="0.35">
      <c r="A312" s="31" t="s">
        <v>324</v>
      </c>
      <c r="B312" s="31" t="s">
        <v>730</v>
      </c>
      <c r="C312" s="34" t="s">
        <v>731</v>
      </c>
      <c r="D312" s="36" t="s">
        <v>749</v>
      </c>
      <c r="E312" s="41" t="s">
        <v>807</v>
      </c>
    </row>
    <row r="313" spans="1:5" x14ac:dyDescent="0.35">
      <c r="A313" s="31" t="s">
        <v>324</v>
      </c>
      <c r="B313" s="31" t="s">
        <v>32</v>
      </c>
      <c r="C313" s="34" t="s">
        <v>732</v>
      </c>
      <c r="D313" s="36" t="s">
        <v>749</v>
      </c>
      <c r="E313" s="41" t="s">
        <v>807</v>
      </c>
    </row>
    <row r="314" spans="1:5" x14ac:dyDescent="0.35">
      <c r="A314" s="31" t="s">
        <v>324</v>
      </c>
      <c r="B314" s="31" t="s">
        <v>733</v>
      </c>
      <c r="C314" s="32" t="s">
        <v>734</v>
      </c>
      <c r="D314" s="36" t="s">
        <v>749</v>
      </c>
      <c r="E314" s="41" t="s">
        <v>807</v>
      </c>
    </row>
    <row r="315" spans="1:5" x14ac:dyDescent="0.35">
      <c r="A315" s="31" t="s">
        <v>324</v>
      </c>
      <c r="B315" s="31" t="s">
        <v>151</v>
      </c>
      <c r="C315" s="34" t="s">
        <v>735</v>
      </c>
      <c r="D315" s="36" t="s">
        <v>749</v>
      </c>
      <c r="E315" s="41" t="s">
        <v>807</v>
      </c>
    </row>
    <row r="316" spans="1:5" x14ac:dyDescent="0.35">
      <c r="A316" s="31" t="s">
        <v>324</v>
      </c>
      <c r="B316" s="31" t="s">
        <v>152</v>
      </c>
      <c r="C316" s="34" t="s">
        <v>736</v>
      </c>
      <c r="D316" s="36" t="s">
        <v>749</v>
      </c>
      <c r="E316" s="41" t="s">
        <v>807</v>
      </c>
    </row>
    <row r="317" spans="1:5" x14ac:dyDescent="0.35">
      <c r="A317" s="31" t="s">
        <v>324</v>
      </c>
      <c r="B317" s="31" t="s">
        <v>153</v>
      </c>
      <c r="C317" s="34" t="s">
        <v>737</v>
      </c>
      <c r="D317" s="36" t="s">
        <v>749</v>
      </c>
      <c r="E317" s="41" t="s">
        <v>807</v>
      </c>
    </row>
    <row r="318" spans="1:5" x14ac:dyDescent="0.35">
      <c r="A318" s="31" t="s">
        <v>324</v>
      </c>
      <c r="B318" s="31" t="s">
        <v>154</v>
      </c>
      <c r="C318" s="34" t="s">
        <v>738</v>
      </c>
      <c r="D318" s="36" t="s">
        <v>749</v>
      </c>
      <c r="E318" s="41" t="s">
        <v>807</v>
      </c>
    </row>
    <row r="319" spans="1:5" x14ac:dyDescent="0.35">
      <c r="A319" s="31" t="s">
        <v>324</v>
      </c>
      <c r="B319" s="31" t="s">
        <v>155</v>
      </c>
      <c r="C319" s="34" t="s">
        <v>739</v>
      </c>
      <c r="D319" s="36" t="s">
        <v>749</v>
      </c>
      <c r="E319" s="41" t="s">
        <v>807</v>
      </c>
    </row>
    <row r="320" spans="1:5" x14ac:dyDescent="0.35">
      <c r="A320" s="31" t="s">
        <v>324</v>
      </c>
      <c r="B320" s="31" t="s">
        <v>33</v>
      </c>
      <c r="C320" s="34" t="s">
        <v>740</v>
      </c>
      <c r="D320" s="36" t="s">
        <v>749</v>
      </c>
      <c r="E320" s="41" t="s">
        <v>807</v>
      </c>
    </row>
    <row r="321" spans="1:5" x14ac:dyDescent="0.35">
      <c r="A321" s="31" t="s">
        <v>324</v>
      </c>
      <c r="B321" s="31" t="s">
        <v>156</v>
      </c>
      <c r="C321" s="34" t="s">
        <v>741</v>
      </c>
      <c r="D321" s="36" t="s">
        <v>749</v>
      </c>
      <c r="E321" s="41" t="s">
        <v>807</v>
      </c>
    </row>
    <row r="322" spans="1:5" x14ac:dyDescent="0.35">
      <c r="A322" s="31" t="s">
        <v>324</v>
      </c>
      <c r="B322" s="31" t="s">
        <v>157</v>
      </c>
      <c r="C322" s="34" t="s">
        <v>742</v>
      </c>
      <c r="D322" s="36" t="s">
        <v>749</v>
      </c>
      <c r="E322" s="41" t="s">
        <v>807</v>
      </c>
    </row>
    <row r="323" spans="1:5" x14ac:dyDescent="0.35">
      <c r="A323" s="31" t="s">
        <v>324</v>
      </c>
      <c r="B323" s="31" t="s">
        <v>158</v>
      </c>
      <c r="C323" s="34" t="s">
        <v>743</v>
      </c>
      <c r="D323" s="36" t="s">
        <v>749</v>
      </c>
      <c r="E323" s="41" t="s">
        <v>807</v>
      </c>
    </row>
    <row r="324" spans="1:5" x14ac:dyDescent="0.35">
      <c r="A324" s="31" t="s">
        <v>324</v>
      </c>
      <c r="B324" s="31" t="s">
        <v>744</v>
      </c>
      <c r="C324" s="32" t="s">
        <v>745</v>
      </c>
      <c r="D324" s="36" t="s">
        <v>749</v>
      </c>
      <c r="E324" s="41" t="s">
        <v>807</v>
      </c>
    </row>
    <row r="325" spans="1:5" x14ac:dyDescent="0.35">
      <c r="A325" s="31" t="s">
        <v>324</v>
      </c>
      <c r="B325" s="31" t="s">
        <v>746</v>
      </c>
      <c r="C325" s="35" t="s">
        <v>747</v>
      </c>
      <c r="D325" s="36" t="s">
        <v>749</v>
      </c>
      <c r="E325" s="41" t="s">
        <v>807</v>
      </c>
    </row>
    <row r="326" spans="1:5" x14ac:dyDescent="0.35">
      <c r="A326" s="31" t="s">
        <v>295</v>
      </c>
      <c r="B326" s="31" t="s">
        <v>748</v>
      </c>
      <c r="C326" s="36" t="s">
        <v>749</v>
      </c>
      <c r="D326" s="36" t="s">
        <v>749</v>
      </c>
      <c r="E326" s="41" t="s">
        <v>807</v>
      </c>
    </row>
    <row r="327" spans="1:5" x14ac:dyDescent="0.35">
      <c r="A327" s="31" t="s">
        <v>295</v>
      </c>
      <c r="B327" s="31" t="s">
        <v>750</v>
      </c>
      <c r="C327" s="35" t="s">
        <v>751</v>
      </c>
      <c r="D327" s="36" t="s">
        <v>759</v>
      </c>
      <c r="E327" s="41" t="s">
        <v>807</v>
      </c>
    </row>
    <row r="328" spans="1:5" x14ac:dyDescent="0.35">
      <c r="A328" s="31" t="s">
        <v>292</v>
      </c>
      <c r="B328" s="31" t="s">
        <v>128</v>
      </c>
      <c r="C328" s="35" t="s">
        <v>752</v>
      </c>
      <c r="D328" s="36" t="s">
        <v>759</v>
      </c>
      <c r="E328" s="41" t="s">
        <v>807</v>
      </c>
    </row>
    <row r="329" spans="1:5" x14ac:dyDescent="0.35">
      <c r="A329" s="31" t="s">
        <v>295</v>
      </c>
      <c r="B329" s="31" t="s">
        <v>222</v>
      </c>
      <c r="C329" s="35" t="s">
        <v>753</v>
      </c>
      <c r="D329" s="36" t="s">
        <v>759</v>
      </c>
      <c r="E329" s="41" t="s">
        <v>807</v>
      </c>
    </row>
    <row r="330" spans="1:5" x14ac:dyDescent="0.35">
      <c r="A330" s="31" t="s">
        <v>295</v>
      </c>
      <c r="B330" s="31" t="s">
        <v>754</v>
      </c>
      <c r="C330" s="35" t="s">
        <v>755</v>
      </c>
      <c r="D330" s="36" t="s">
        <v>759</v>
      </c>
      <c r="E330" s="41" t="s">
        <v>807</v>
      </c>
    </row>
    <row r="331" spans="1:5" x14ac:dyDescent="0.35">
      <c r="A331" s="31" t="s">
        <v>295</v>
      </c>
      <c r="B331" s="31" t="s">
        <v>227</v>
      </c>
      <c r="C331" s="35" t="s">
        <v>756</v>
      </c>
      <c r="D331" s="36" t="s">
        <v>759</v>
      </c>
      <c r="E331" s="41" t="s">
        <v>807</v>
      </c>
    </row>
    <row r="332" spans="1:5" x14ac:dyDescent="0.35">
      <c r="A332" s="31" t="s">
        <v>295</v>
      </c>
      <c r="B332" s="31" t="s">
        <v>757</v>
      </c>
      <c r="C332" s="35" t="s">
        <v>758</v>
      </c>
      <c r="D332" s="36" t="s">
        <v>759</v>
      </c>
      <c r="E332" s="41" t="s">
        <v>807</v>
      </c>
    </row>
    <row r="333" spans="1:5" x14ac:dyDescent="0.35">
      <c r="A333" s="31" t="s">
        <v>295</v>
      </c>
      <c r="B333" s="31" t="s">
        <v>759</v>
      </c>
      <c r="C333" s="36" t="s">
        <v>759</v>
      </c>
      <c r="D333" s="36" t="s">
        <v>759</v>
      </c>
      <c r="E333" s="41" t="s">
        <v>807</v>
      </c>
    </row>
    <row r="334" spans="1:5" x14ac:dyDescent="0.35">
      <c r="A334" s="31" t="s">
        <v>324</v>
      </c>
      <c r="B334" s="31" t="s">
        <v>16</v>
      </c>
      <c r="C334" s="32" t="s">
        <v>760</v>
      </c>
      <c r="D334" s="36" t="s">
        <v>765</v>
      </c>
      <c r="E334" s="41" t="s">
        <v>807</v>
      </c>
    </row>
    <row r="335" spans="1:5" x14ac:dyDescent="0.35">
      <c r="A335" s="31" t="s">
        <v>324</v>
      </c>
      <c r="B335" s="31" t="s">
        <v>17</v>
      </c>
      <c r="C335" s="32" t="s">
        <v>761</v>
      </c>
      <c r="D335" s="36" t="s">
        <v>765</v>
      </c>
      <c r="E335" s="41" t="s">
        <v>807</v>
      </c>
    </row>
    <row r="336" spans="1:5" x14ac:dyDescent="0.35">
      <c r="A336" s="31" t="s">
        <v>324</v>
      </c>
      <c r="B336" s="31" t="s">
        <v>762</v>
      </c>
      <c r="C336" s="35" t="s">
        <v>763</v>
      </c>
      <c r="D336" s="36" t="s">
        <v>765</v>
      </c>
      <c r="E336" s="41" t="s">
        <v>807</v>
      </c>
    </row>
    <row r="337" spans="1:5" x14ac:dyDescent="0.35">
      <c r="A337" s="31" t="s">
        <v>324</v>
      </c>
      <c r="B337" s="31" t="s">
        <v>18</v>
      </c>
      <c r="C337" s="35" t="s">
        <v>764</v>
      </c>
      <c r="D337" s="36" t="s">
        <v>765</v>
      </c>
      <c r="E337" s="41" t="s">
        <v>807</v>
      </c>
    </row>
    <row r="338" spans="1:5" x14ac:dyDescent="0.35">
      <c r="A338" s="31" t="s">
        <v>324</v>
      </c>
      <c r="B338" s="31" t="s">
        <v>765</v>
      </c>
      <c r="C338" s="36" t="s">
        <v>765</v>
      </c>
      <c r="D338" s="36" t="s">
        <v>765</v>
      </c>
      <c r="E338" s="41" t="s">
        <v>807</v>
      </c>
    </row>
    <row r="339" spans="1:5" x14ac:dyDescent="0.35">
      <c r="A339" s="31" t="s">
        <v>324</v>
      </c>
      <c r="B339" s="31" t="s">
        <v>7</v>
      </c>
      <c r="C339" s="35" t="s">
        <v>766</v>
      </c>
      <c r="D339" s="36" t="s">
        <v>769</v>
      </c>
      <c r="E339" s="41" t="s">
        <v>807</v>
      </c>
    </row>
    <row r="340" spans="1:5" x14ac:dyDescent="0.35">
      <c r="A340" s="31" t="s">
        <v>421</v>
      </c>
      <c r="B340" s="31" t="s">
        <v>118</v>
      </c>
      <c r="C340" s="35" t="s">
        <v>767</v>
      </c>
      <c r="D340" s="36" t="s">
        <v>769</v>
      </c>
      <c r="E340" s="41" t="s">
        <v>807</v>
      </c>
    </row>
    <row r="341" spans="1:5" x14ac:dyDescent="0.35">
      <c r="A341" s="31" t="s">
        <v>324</v>
      </c>
      <c r="B341" s="31" t="s">
        <v>768</v>
      </c>
      <c r="C341" s="36" t="s">
        <v>769</v>
      </c>
      <c r="D341" s="36" t="s">
        <v>769</v>
      </c>
      <c r="E341" s="41" t="s">
        <v>807</v>
      </c>
    </row>
    <row r="342" spans="1:5" x14ac:dyDescent="0.35">
      <c r="A342" s="31" t="s">
        <v>295</v>
      </c>
      <c r="B342" s="31" t="s">
        <v>144</v>
      </c>
      <c r="C342" s="35" t="s">
        <v>770</v>
      </c>
      <c r="D342" t="s">
        <v>923</v>
      </c>
      <c r="E342" s="41" t="s">
        <v>807</v>
      </c>
    </row>
    <row r="343" spans="1:5" x14ac:dyDescent="0.35">
      <c r="A343" s="31" t="s">
        <v>324</v>
      </c>
      <c r="B343" s="31" t="s">
        <v>161</v>
      </c>
      <c r="C343" s="35" t="s">
        <v>771</v>
      </c>
      <c r="D343" t="s">
        <v>923</v>
      </c>
      <c r="E343" s="41" t="s">
        <v>807</v>
      </c>
    </row>
    <row r="344" spans="1:5" x14ac:dyDescent="0.35">
      <c r="A344" s="31" t="s">
        <v>295</v>
      </c>
      <c r="B344" s="31" t="s">
        <v>772</v>
      </c>
      <c r="C344" s="36" t="s">
        <v>773</v>
      </c>
      <c r="D344" t="s">
        <v>923</v>
      </c>
      <c r="E344" s="41" t="s">
        <v>807</v>
      </c>
    </row>
    <row r="345" spans="1:5" ht="20" x14ac:dyDescent="0.35">
      <c r="A345" s="37" t="s">
        <v>295</v>
      </c>
      <c r="B345" s="37" t="s">
        <v>774</v>
      </c>
      <c r="C345" s="38" t="s">
        <v>775</v>
      </c>
      <c r="D345" t="s">
        <v>923</v>
      </c>
      <c r="E345" s="41" t="s">
        <v>807</v>
      </c>
    </row>
    <row r="346" spans="1:5" x14ac:dyDescent="0.35">
      <c r="A346" s="31" t="s">
        <v>295</v>
      </c>
      <c r="B346" s="31" t="s">
        <v>38</v>
      </c>
      <c r="C346" s="32" t="s">
        <v>776</v>
      </c>
      <c r="D346" t="s">
        <v>923</v>
      </c>
      <c r="E346" s="41" t="s">
        <v>807</v>
      </c>
    </row>
    <row r="347" spans="1:5" x14ac:dyDescent="0.35">
      <c r="A347" s="31" t="s">
        <v>295</v>
      </c>
      <c r="B347" s="31" t="s">
        <v>777</v>
      </c>
      <c r="C347" s="32" t="s">
        <v>778</v>
      </c>
      <c r="D347" t="s">
        <v>923</v>
      </c>
      <c r="E347" s="41" t="s">
        <v>807</v>
      </c>
    </row>
    <row r="348" spans="1:5" x14ac:dyDescent="0.35">
      <c r="A348" s="31" t="s">
        <v>295</v>
      </c>
      <c r="B348" s="31" t="s">
        <v>779</v>
      </c>
      <c r="C348" s="34" t="s">
        <v>780</v>
      </c>
      <c r="D348" t="s">
        <v>923</v>
      </c>
      <c r="E348" s="41" t="s">
        <v>807</v>
      </c>
    </row>
    <row r="349" spans="1:5" x14ac:dyDescent="0.35">
      <c r="A349" s="31" t="s">
        <v>295</v>
      </c>
      <c r="B349" s="31" t="s">
        <v>781</v>
      </c>
      <c r="C349" s="34" t="s">
        <v>782</v>
      </c>
      <c r="D349" t="s">
        <v>923</v>
      </c>
      <c r="E349" s="41" t="s">
        <v>807</v>
      </c>
    </row>
    <row r="350" spans="1:5" x14ac:dyDescent="0.35">
      <c r="A350" s="31" t="s">
        <v>295</v>
      </c>
      <c r="B350" s="31" t="s">
        <v>783</v>
      </c>
      <c r="C350" s="32" t="s">
        <v>784</v>
      </c>
      <c r="D350" t="s">
        <v>923</v>
      </c>
      <c r="E350" s="41" t="s">
        <v>807</v>
      </c>
    </row>
    <row r="351" spans="1:5" x14ac:dyDescent="0.35">
      <c r="A351" s="31" t="s">
        <v>295</v>
      </c>
      <c r="B351" s="31" t="s">
        <v>776</v>
      </c>
      <c r="C351" s="35" t="s">
        <v>776</v>
      </c>
      <c r="D351" t="s">
        <v>923</v>
      </c>
      <c r="E351" s="41" t="s">
        <v>807</v>
      </c>
    </row>
    <row r="352" spans="1:5" x14ac:dyDescent="0.35">
      <c r="A352" s="31" t="s">
        <v>295</v>
      </c>
      <c r="B352" s="31" t="s">
        <v>39</v>
      </c>
      <c r="C352" s="35" t="s">
        <v>785</v>
      </c>
      <c r="D352" t="s">
        <v>923</v>
      </c>
      <c r="E352" s="41" t="s">
        <v>807</v>
      </c>
    </row>
    <row r="353" spans="1:5" x14ac:dyDescent="0.35">
      <c r="A353" s="31" t="s">
        <v>295</v>
      </c>
      <c r="B353" s="31" t="s">
        <v>786</v>
      </c>
      <c r="C353" s="36" t="s">
        <v>787</v>
      </c>
      <c r="D353" t="s">
        <v>923</v>
      </c>
      <c r="E353" s="41" t="s">
        <v>807</v>
      </c>
    </row>
    <row r="354" spans="1:5" x14ac:dyDescent="0.35">
      <c r="A354" s="31" t="s">
        <v>292</v>
      </c>
      <c r="B354" s="31" t="s">
        <v>788</v>
      </c>
      <c r="C354" s="32" t="s">
        <v>789</v>
      </c>
      <c r="D354" t="s">
        <v>923</v>
      </c>
      <c r="E354" s="41" t="s">
        <v>807</v>
      </c>
    </row>
    <row r="355" spans="1:5" x14ac:dyDescent="0.35">
      <c r="A355" s="31" t="s">
        <v>292</v>
      </c>
      <c r="B355" s="31" t="s">
        <v>37</v>
      </c>
      <c r="C355" s="32" t="s">
        <v>790</v>
      </c>
      <c r="D355" t="s">
        <v>923</v>
      </c>
      <c r="E355" s="41" t="s">
        <v>807</v>
      </c>
    </row>
    <row r="356" spans="1:5" x14ac:dyDescent="0.35">
      <c r="A356" s="31" t="s">
        <v>292</v>
      </c>
      <c r="B356" s="31" t="s">
        <v>791</v>
      </c>
      <c r="C356" s="35" t="s">
        <v>792</v>
      </c>
      <c r="D356" t="s">
        <v>923</v>
      </c>
      <c r="E356" s="41" t="s">
        <v>807</v>
      </c>
    </row>
    <row r="357" spans="1:5" x14ac:dyDescent="0.35">
      <c r="A357" s="31" t="s">
        <v>292</v>
      </c>
      <c r="B357" s="31" t="s">
        <v>793</v>
      </c>
      <c r="C357" s="35" t="s">
        <v>794</v>
      </c>
      <c r="D357" t="s">
        <v>923</v>
      </c>
      <c r="E357" s="41" t="s">
        <v>807</v>
      </c>
    </row>
    <row r="358" spans="1:5" x14ac:dyDescent="0.35">
      <c r="A358" s="31" t="s">
        <v>292</v>
      </c>
      <c r="B358" s="31" t="s">
        <v>795</v>
      </c>
      <c r="C358" s="36" t="s">
        <v>796</v>
      </c>
      <c r="D358" t="s">
        <v>923</v>
      </c>
      <c r="E358" s="41" t="s">
        <v>807</v>
      </c>
    </row>
    <row r="359" spans="1:5" ht="20" x14ac:dyDescent="0.35">
      <c r="A359" s="37" t="s">
        <v>295</v>
      </c>
      <c r="B359" s="37" t="s">
        <v>797</v>
      </c>
      <c r="C359" s="38" t="s">
        <v>798</v>
      </c>
      <c r="D359" t="s">
        <v>923</v>
      </c>
      <c r="E359" s="41" t="s">
        <v>807</v>
      </c>
    </row>
    <row r="360" spans="1:5" x14ac:dyDescent="0.35">
      <c r="A360" s="31" t="s">
        <v>295</v>
      </c>
      <c r="B360" s="31" t="s">
        <v>799</v>
      </c>
      <c r="C360" s="40" t="s">
        <v>800</v>
      </c>
      <c r="D360" t="s">
        <v>923</v>
      </c>
      <c r="E360" s="41" t="s">
        <v>807</v>
      </c>
    </row>
    <row r="361" spans="1:5" x14ac:dyDescent="0.35">
      <c r="A361" s="31" t="s">
        <v>295</v>
      </c>
      <c r="B361" s="31" t="s">
        <v>801</v>
      </c>
      <c r="C361" s="40" t="s">
        <v>802</v>
      </c>
      <c r="D361" t="s">
        <v>923</v>
      </c>
      <c r="E361" s="41" t="s">
        <v>807</v>
      </c>
    </row>
    <row r="362" spans="1:5" x14ac:dyDescent="0.35">
      <c r="A362" s="31" t="s">
        <v>295</v>
      </c>
      <c r="B362" s="31" t="s">
        <v>803</v>
      </c>
      <c r="C362" s="40" t="s">
        <v>804</v>
      </c>
      <c r="D362" t="s">
        <v>923</v>
      </c>
      <c r="E362" s="41" t="s">
        <v>807</v>
      </c>
    </row>
    <row r="363" spans="1:5" x14ac:dyDescent="0.35">
      <c r="A363" s="31" t="s">
        <v>295</v>
      </c>
      <c r="B363" s="31" t="s">
        <v>805</v>
      </c>
      <c r="C363" s="39" t="s">
        <v>806</v>
      </c>
      <c r="D363" s="41"/>
      <c r="E363" s="41" t="s">
        <v>807</v>
      </c>
    </row>
    <row r="364" spans="1:5" x14ac:dyDescent="0.35">
      <c r="A364" s="31" t="s">
        <v>295</v>
      </c>
      <c r="B364" s="31" t="s">
        <v>807</v>
      </c>
      <c r="C364" s="41" t="s">
        <v>807</v>
      </c>
      <c r="E364" s="41" t="s">
        <v>807</v>
      </c>
    </row>
    <row r="365" spans="1:5" x14ac:dyDescent="0.35">
      <c r="A365" s="31" t="s">
        <v>295</v>
      </c>
      <c r="B365" s="31" t="s">
        <v>808</v>
      </c>
      <c r="C365" s="45" t="s">
        <v>809</v>
      </c>
      <c r="D365" s="41" t="s">
        <v>817</v>
      </c>
      <c r="E365" s="41" t="s">
        <v>817</v>
      </c>
    </row>
    <row r="366" spans="1:5" x14ac:dyDescent="0.35">
      <c r="A366" s="31" t="s">
        <v>295</v>
      </c>
      <c r="B366" s="31" t="s">
        <v>73</v>
      </c>
      <c r="C366" s="39" t="s">
        <v>810</v>
      </c>
      <c r="D366" s="45" t="s">
        <v>817</v>
      </c>
      <c r="E366" s="45" t="s">
        <v>817</v>
      </c>
    </row>
    <row r="367" spans="1:5" x14ac:dyDescent="0.35">
      <c r="A367" s="31" t="s">
        <v>292</v>
      </c>
      <c r="B367" s="31" t="s">
        <v>811</v>
      </c>
      <c r="C367" s="39" t="s">
        <v>812</v>
      </c>
      <c r="D367" s="45" t="s">
        <v>817</v>
      </c>
      <c r="E367" s="45" t="s">
        <v>817</v>
      </c>
    </row>
    <row r="368" spans="1:5" x14ac:dyDescent="0.35">
      <c r="A368" s="31" t="s">
        <v>295</v>
      </c>
      <c r="B368" s="31" t="s">
        <v>145</v>
      </c>
      <c r="C368" s="39" t="s">
        <v>813</v>
      </c>
      <c r="D368" s="45" t="s">
        <v>817</v>
      </c>
      <c r="E368" s="45" t="s">
        <v>817</v>
      </c>
    </row>
    <row r="369" spans="1:5" x14ac:dyDescent="0.35">
      <c r="A369" s="31" t="s">
        <v>292</v>
      </c>
      <c r="B369" s="31" t="s">
        <v>814</v>
      </c>
      <c r="C369" s="39" t="s">
        <v>815</v>
      </c>
      <c r="D369" s="45" t="s">
        <v>817</v>
      </c>
      <c r="E369" s="45" t="s">
        <v>817</v>
      </c>
    </row>
    <row r="370" spans="1:5" x14ac:dyDescent="0.35">
      <c r="A370" s="31" t="s">
        <v>295</v>
      </c>
      <c r="B370" s="31" t="s">
        <v>816</v>
      </c>
      <c r="C370" s="41" t="s">
        <v>817</v>
      </c>
      <c r="D370" s="45" t="s">
        <v>817</v>
      </c>
      <c r="E370" s="45" t="s">
        <v>817</v>
      </c>
    </row>
    <row r="371" spans="1:5" x14ac:dyDescent="0.35">
      <c r="A371" s="31" t="s">
        <v>269</v>
      </c>
      <c r="B371" s="31" t="s">
        <v>115</v>
      </c>
      <c r="C371" s="40" t="s">
        <v>818</v>
      </c>
      <c r="D371" s="45" t="s">
        <v>817</v>
      </c>
      <c r="E371" s="45" t="s">
        <v>817</v>
      </c>
    </row>
    <row r="372" spans="1:5" x14ac:dyDescent="0.35">
      <c r="A372" s="31" t="s">
        <v>269</v>
      </c>
      <c r="B372" s="31" t="s">
        <v>819</v>
      </c>
      <c r="C372" s="40" t="s">
        <v>820</v>
      </c>
      <c r="D372" s="45" t="s">
        <v>817</v>
      </c>
      <c r="E372" s="45" t="s">
        <v>817</v>
      </c>
    </row>
    <row r="373" spans="1:5" x14ac:dyDescent="0.35">
      <c r="A373" s="31" t="s">
        <v>292</v>
      </c>
      <c r="B373" s="31" t="s">
        <v>123</v>
      </c>
      <c r="C373" s="40" t="s">
        <v>821</v>
      </c>
      <c r="D373" s="45" t="s">
        <v>817</v>
      </c>
      <c r="E373" s="45" t="s">
        <v>817</v>
      </c>
    </row>
    <row r="374" spans="1:5" x14ac:dyDescent="0.35">
      <c r="A374" s="31" t="s">
        <v>292</v>
      </c>
      <c r="B374" s="31" t="s">
        <v>822</v>
      </c>
      <c r="C374" s="40" t="s">
        <v>823</v>
      </c>
      <c r="D374" s="45" t="s">
        <v>817</v>
      </c>
      <c r="E374" s="45" t="s">
        <v>817</v>
      </c>
    </row>
    <row r="375" spans="1:5" x14ac:dyDescent="0.35">
      <c r="A375" s="31" t="s">
        <v>324</v>
      </c>
      <c r="B375" s="31" t="s">
        <v>159</v>
      </c>
      <c r="C375" s="36" t="s">
        <v>824</v>
      </c>
      <c r="D375" s="45" t="s">
        <v>817</v>
      </c>
      <c r="E375" s="45" t="s">
        <v>817</v>
      </c>
    </row>
    <row r="376" spans="1:5" x14ac:dyDescent="0.35">
      <c r="A376" s="31" t="s">
        <v>324</v>
      </c>
      <c r="B376" s="31" t="s">
        <v>162</v>
      </c>
      <c r="C376" s="36" t="s">
        <v>825</v>
      </c>
      <c r="D376" s="45" t="s">
        <v>817</v>
      </c>
      <c r="E376" s="45" t="s">
        <v>817</v>
      </c>
    </row>
    <row r="377" spans="1:5" x14ac:dyDescent="0.35">
      <c r="A377" s="31" t="s">
        <v>324</v>
      </c>
      <c r="B377" s="31" t="s">
        <v>826</v>
      </c>
      <c r="C377" s="40" t="s">
        <v>824</v>
      </c>
      <c r="D377" s="45" t="s">
        <v>817</v>
      </c>
      <c r="E377" s="45" t="s">
        <v>817</v>
      </c>
    </row>
    <row r="378" spans="1:5" x14ac:dyDescent="0.35">
      <c r="A378" s="31" t="s">
        <v>324</v>
      </c>
      <c r="B378" s="31" t="s">
        <v>827</v>
      </c>
      <c r="C378" s="40" t="s">
        <v>828</v>
      </c>
      <c r="D378" s="45" t="s">
        <v>817</v>
      </c>
      <c r="E378" s="45" t="s">
        <v>817</v>
      </c>
    </row>
    <row r="379" spans="1:5" x14ac:dyDescent="0.35">
      <c r="A379" s="31" t="s">
        <v>324</v>
      </c>
      <c r="B379" s="31" t="s">
        <v>829</v>
      </c>
      <c r="C379" s="40" t="s">
        <v>830</v>
      </c>
      <c r="D379" s="45" t="s">
        <v>817</v>
      </c>
      <c r="E379" s="45" t="s">
        <v>817</v>
      </c>
    </row>
    <row r="380" spans="1:5" x14ac:dyDescent="0.35">
      <c r="A380" s="31" t="s">
        <v>295</v>
      </c>
      <c r="B380" s="31" t="s">
        <v>831</v>
      </c>
      <c r="C380" s="40" t="s">
        <v>832</v>
      </c>
      <c r="D380" s="45" t="s">
        <v>817</v>
      </c>
      <c r="E380" s="45" t="s">
        <v>817</v>
      </c>
    </row>
    <row r="381" spans="1:5" x14ac:dyDescent="0.35">
      <c r="A381" s="31" t="s">
        <v>295</v>
      </c>
      <c r="B381" s="31" t="s">
        <v>833</v>
      </c>
      <c r="C381" s="40" t="s">
        <v>834</v>
      </c>
      <c r="D381" s="45" t="s">
        <v>817</v>
      </c>
      <c r="E381" s="45" t="s">
        <v>817</v>
      </c>
    </row>
    <row r="382" spans="1:5" x14ac:dyDescent="0.35">
      <c r="A382" s="31" t="s">
        <v>295</v>
      </c>
      <c r="B382" s="31" t="s">
        <v>835</v>
      </c>
      <c r="C382" s="40" t="s">
        <v>836</v>
      </c>
      <c r="D382" s="45" t="s">
        <v>817</v>
      </c>
      <c r="E382" s="45" t="s">
        <v>817</v>
      </c>
    </row>
    <row r="383" spans="1:5" x14ac:dyDescent="0.35">
      <c r="A383" s="31" t="s">
        <v>269</v>
      </c>
      <c r="B383" s="31" t="s">
        <v>138</v>
      </c>
      <c r="C383" s="40" t="s">
        <v>837</v>
      </c>
      <c r="D383" s="45" t="s">
        <v>817</v>
      </c>
      <c r="E383" s="45" t="s">
        <v>817</v>
      </c>
    </row>
    <row r="384" spans="1:5" x14ac:dyDescent="0.35">
      <c r="A384" s="31" t="s">
        <v>324</v>
      </c>
      <c r="B384" s="31" t="s">
        <v>139</v>
      </c>
      <c r="C384" s="40" t="s">
        <v>838</v>
      </c>
      <c r="D384" s="45" t="s">
        <v>817</v>
      </c>
      <c r="E384" s="45" t="s">
        <v>817</v>
      </c>
    </row>
    <row r="385" spans="1:5" x14ac:dyDescent="0.35">
      <c r="A385" s="31" t="s">
        <v>295</v>
      </c>
      <c r="B385" s="31" t="s">
        <v>839</v>
      </c>
      <c r="C385" s="40" t="s">
        <v>840</v>
      </c>
      <c r="D385" s="45" t="s">
        <v>817</v>
      </c>
      <c r="E385" s="45" t="s">
        <v>817</v>
      </c>
    </row>
    <row r="386" spans="1:5" x14ac:dyDescent="0.35">
      <c r="A386" s="31" t="s">
        <v>252</v>
      </c>
      <c r="B386" s="31" t="s">
        <v>841</v>
      </c>
      <c r="C386" s="40" t="s">
        <v>842</v>
      </c>
      <c r="D386" s="45" t="s">
        <v>817</v>
      </c>
      <c r="E386" s="45" t="s">
        <v>817</v>
      </c>
    </row>
    <row r="387" spans="1:5" x14ac:dyDescent="0.35">
      <c r="A387" s="31" t="s">
        <v>295</v>
      </c>
      <c r="B387" s="31" t="s">
        <v>843</v>
      </c>
      <c r="C387" s="36" t="s">
        <v>844</v>
      </c>
      <c r="D387" s="45" t="s">
        <v>817</v>
      </c>
      <c r="E387" s="45" t="s">
        <v>817</v>
      </c>
    </row>
    <row r="388" spans="1:5" x14ac:dyDescent="0.35">
      <c r="A388" s="31" t="s">
        <v>292</v>
      </c>
      <c r="B388" s="31" t="s">
        <v>140</v>
      </c>
      <c r="C388" s="36" t="s">
        <v>845</v>
      </c>
      <c r="D388" s="45" t="s">
        <v>817</v>
      </c>
      <c r="E388" s="45" t="s">
        <v>817</v>
      </c>
    </row>
    <row r="389" spans="1:5" x14ac:dyDescent="0.35">
      <c r="A389" s="31" t="s">
        <v>292</v>
      </c>
      <c r="B389" s="31" t="s">
        <v>846</v>
      </c>
      <c r="C389" s="40" t="s">
        <v>847</v>
      </c>
      <c r="D389" s="45" t="s">
        <v>817</v>
      </c>
      <c r="E389" s="45" t="s">
        <v>817</v>
      </c>
    </row>
    <row r="390" spans="1:5" x14ac:dyDescent="0.35">
      <c r="A390" s="31" t="s">
        <v>295</v>
      </c>
      <c r="B390" s="31" t="s">
        <v>848</v>
      </c>
      <c r="C390" s="39" t="s">
        <v>849</v>
      </c>
      <c r="D390" s="45" t="s">
        <v>817</v>
      </c>
      <c r="E390" s="45" t="s">
        <v>817</v>
      </c>
    </row>
    <row r="391" spans="1:5" x14ac:dyDescent="0.35">
      <c r="A391" s="31" t="s">
        <v>295</v>
      </c>
      <c r="B391" s="31" t="s">
        <v>850</v>
      </c>
      <c r="C391" s="40" t="s">
        <v>851</v>
      </c>
      <c r="D391" s="45" t="s">
        <v>817</v>
      </c>
      <c r="E391" s="45" t="s">
        <v>817</v>
      </c>
    </row>
    <row r="392" spans="1:5" x14ac:dyDescent="0.35">
      <c r="A392" s="31" t="s">
        <v>295</v>
      </c>
      <c r="B392" s="31" t="s">
        <v>141</v>
      </c>
      <c r="C392" s="40" t="s">
        <v>852</v>
      </c>
      <c r="D392" s="45" t="s">
        <v>817</v>
      </c>
      <c r="E392" s="45" t="s">
        <v>817</v>
      </c>
    </row>
    <row r="393" spans="1:5" x14ac:dyDescent="0.35">
      <c r="A393" s="31" t="s">
        <v>295</v>
      </c>
      <c r="B393" s="31" t="s">
        <v>853</v>
      </c>
      <c r="C393" s="39" t="s">
        <v>854</v>
      </c>
      <c r="D393" s="45" t="s">
        <v>817</v>
      </c>
      <c r="E393" s="45" t="s">
        <v>817</v>
      </c>
    </row>
    <row r="394" spans="1:5" x14ac:dyDescent="0.35">
      <c r="A394" s="31" t="s">
        <v>295</v>
      </c>
      <c r="B394" s="31" t="s">
        <v>142</v>
      </c>
      <c r="C394" s="40" t="s">
        <v>855</v>
      </c>
      <c r="D394" s="45" t="s">
        <v>817</v>
      </c>
      <c r="E394" s="45" t="s">
        <v>817</v>
      </c>
    </row>
    <row r="395" spans="1:5" x14ac:dyDescent="0.35">
      <c r="A395" s="31" t="s">
        <v>295</v>
      </c>
      <c r="B395" s="31" t="s">
        <v>143</v>
      </c>
      <c r="C395" s="40" t="s">
        <v>856</v>
      </c>
      <c r="D395" s="45" t="s">
        <v>817</v>
      </c>
      <c r="E395" s="45" t="s">
        <v>817</v>
      </c>
    </row>
    <row r="396" spans="1:5" x14ac:dyDescent="0.35">
      <c r="A396" s="31" t="s">
        <v>324</v>
      </c>
      <c r="B396" s="31" t="s">
        <v>160</v>
      </c>
      <c r="C396" s="40" t="s">
        <v>857</v>
      </c>
      <c r="D396" s="45" t="s">
        <v>817</v>
      </c>
      <c r="E396" s="45" t="s">
        <v>817</v>
      </c>
    </row>
    <row r="397" spans="1:5" x14ac:dyDescent="0.35">
      <c r="A397" s="31" t="s">
        <v>252</v>
      </c>
      <c r="B397" s="31" t="s">
        <v>116</v>
      </c>
      <c r="C397" s="40" t="s">
        <v>858</v>
      </c>
      <c r="D397" s="45" t="s">
        <v>817</v>
      </c>
      <c r="E397" s="45" t="s">
        <v>817</v>
      </c>
    </row>
    <row r="398" spans="1:5" x14ac:dyDescent="0.35">
      <c r="A398" s="31" t="s">
        <v>292</v>
      </c>
      <c r="B398" s="31" t="s">
        <v>124</v>
      </c>
      <c r="C398" s="40" t="s">
        <v>859</v>
      </c>
      <c r="D398" s="45" t="s">
        <v>817</v>
      </c>
      <c r="E398" s="45" t="s">
        <v>817</v>
      </c>
    </row>
    <row r="399" spans="1:5" x14ac:dyDescent="0.35">
      <c r="A399" s="31" t="s">
        <v>340</v>
      </c>
      <c r="B399" s="31" t="s">
        <v>860</v>
      </c>
      <c r="C399" s="40" t="s">
        <v>861</v>
      </c>
      <c r="D399" s="45" t="s">
        <v>817</v>
      </c>
      <c r="E399" s="45" t="s">
        <v>817</v>
      </c>
    </row>
    <row r="400" spans="1:5" x14ac:dyDescent="0.35">
      <c r="A400" s="31" t="s">
        <v>269</v>
      </c>
      <c r="B400" s="31" t="s">
        <v>208</v>
      </c>
      <c r="C400" s="40" t="s">
        <v>862</v>
      </c>
      <c r="D400" s="45" t="s">
        <v>817</v>
      </c>
      <c r="E400" s="45" t="s">
        <v>817</v>
      </c>
    </row>
    <row r="401" spans="1:5" x14ac:dyDescent="0.35">
      <c r="A401" s="31" t="s">
        <v>301</v>
      </c>
      <c r="B401" s="31" t="s">
        <v>119</v>
      </c>
      <c r="C401" s="40" t="s">
        <v>863</v>
      </c>
      <c r="D401" s="45" t="s">
        <v>817</v>
      </c>
      <c r="E401" s="45" t="s">
        <v>817</v>
      </c>
    </row>
    <row r="402" spans="1:5" x14ac:dyDescent="0.35">
      <c r="A402" s="31" t="s">
        <v>303</v>
      </c>
      <c r="B402" s="31" t="s">
        <v>209</v>
      </c>
      <c r="C402" s="40" t="s">
        <v>864</v>
      </c>
      <c r="D402" s="45" t="s">
        <v>817</v>
      </c>
      <c r="E402" s="45" t="s">
        <v>817</v>
      </c>
    </row>
    <row r="403" spans="1:5" x14ac:dyDescent="0.35">
      <c r="A403" s="31" t="s">
        <v>421</v>
      </c>
      <c r="B403" s="31" t="s">
        <v>865</v>
      </c>
      <c r="C403" s="40" t="s">
        <v>866</v>
      </c>
      <c r="D403" s="45" t="s">
        <v>817</v>
      </c>
      <c r="E403" s="45" t="s">
        <v>817</v>
      </c>
    </row>
    <row r="404" spans="1:5" x14ac:dyDescent="0.35">
      <c r="A404" s="31" t="s">
        <v>281</v>
      </c>
      <c r="B404" s="31" t="s">
        <v>867</v>
      </c>
      <c r="C404" s="40" t="s">
        <v>868</v>
      </c>
      <c r="D404" s="45" t="s">
        <v>817</v>
      </c>
      <c r="E404" s="45" t="s">
        <v>817</v>
      </c>
    </row>
    <row r="405" spans="1:5" x14ac:dyDescent="0.35">
      <c r="A405" s="31" t="s">
        <v>550</v>
      </c>
      <c r="B405" s="31" t="s">
        <v>869</v>
      </c>
      <c r="C405" s="40" t="s">
        <v>870</v>
      </c>
      <c r="D405" s="45" t="s">
        <v>817</v>
      </c>
      <c r="E405" s="45" t="s">
        <v>817</v>
      </c>
    </row>
    <row r="406" spans="1:5" x14ac:dyDescent="0.35">
      <c r="A406" s="31" t="s">
        <v>871</v>
      </c>
      <c r="B406" s="31" t="s">
        <v>872</v>
      </c>
      <c r="C406" s="40" t="s">
        <v>873</v>
      </c>
      <c r="D406" s="45" t="s">
        <v>817</v>
      </c>
      <c r="E406" s="45" t="s">
        <v>817</v>
      </c>
    </row>
    <row r="407" spans="1:5" x14ac:dyDescent="0.35">
      <c r="A407" s="31" t="s">
        <v>560</v>
      </c>
      <c r="B407" s="31" t="s">
        <v>874</v>
      </c>
      <c r="C407" s="40" t="s">
        <v>875</v>
      </c>
      <c r="D407" s="45" t="s">
        <v>817</v>
      </c>
      <c r="E407" s="45" t="s">
        <v>817</v>
      </c>
    </row>
    <row r="408" spans="1:5" x14ac:dyDescent="0.35">
      <c r="A408" s="31" t="s">
        <v>521</v>
      </c>
      <c r="B408" s="31" t="s">
        <v>220</v>
      </c>
      <c r="C408" s="40" t="s">
        <v>876</v>
      </c>
      <c r="D408" s="45" t="s">
        <v>817</v>
      </c>
      <c r="E408" s="45" t="s">
        <v>817</v>
      </c>
    </row>
    <row r="409" spans="1:5" x14ac:dyDescent="0.35">
      <c r="A409" s="31" t="s">
        <v>711</v>
      </c>
      <c r="B409" s="31" t="s">
        <v>877</v>
      </c>
      <c r="C409" s="40" t="s">
        <v>878</v>
      </c>
      <c r="D409" s="45" t="s">
        <v>817</v>
      </c>
      <c r="E409" s="45" t="s">
        <v>817</v>
      </c>
    </row>
    <row r="410" spans="1:5" x14ac:dyDescent="0.35">
      <c r="A410" s="31" t="s">
        <v>309</v>
      </c>
      <c r="B410" s="31" t="s">
        <v>879</v>
      </c>
      <c r="C410" s="40" t="s">
        <v>880</v>
      </c>
      <c r="D410" s="45" t="s">
        <v>817</v>
      </c>
      <c r="E410" s="45" t="s">
        <v>817</v>
      </c>
    </row>
    <row r="411" spans="1:5" x14ac:dyDescent="0.35">
      <c r="A411" s="31" t="s">
        <v>295</v>
      </c>
      <c r="B411" s="31" t="s">
        <v>881</v>
      </c>
      <c r="C411" s="39" t="s">
        <v>882</v>
      </c>
      <c r="D411" s="45" t="s">
        <v>817</v>
      </c>
      <c r="E411" s="45" t="s">
        <v>817</v>
      </c>
    </row>
    <row r="412" spans="1:5" x14ac:dyDescent="0.35">
      <c r="A412" s="31" t="s">
        <v>295</v>
      </c>
      <c r="B412" s="31" t="s">
        <v>883</v>
      </c>
      <c r="C412" s="40" t="s">
        <v>884</v>
      </c>
      <c r="D412" s="45" t="s">
        <v>817</v>
      </c>
      <c r="E412" s="45" t="s">
        <v>817</v>
      </c>
    </row>
    <row r="413" spans="1:5" x14ac:dyDescent="0.35">
      <c r="A413" s="31" t="s">
        <v>295</v>
      </c>
      <c r="B413" s="31" t="s">
        <v>885</v>
      </c>
      <c r="C413" s="40" t="s">
        <v>886</v>
      </c>
      <c r="D413" s="45" t="s">
        <v>817</v>
      </c>
      <c r="E413" s="45" t="s">
        <v>817</v>
      </c>
    </row>
    <row r="414" spans="1:5" x14ac:dyDescent="0.35">
      <c r="A414" s="31" t="s">
        <v>295</v>
      </c>
      <c r="B414" s="31" t="s">
        <v>887</v>
      </c>
      <c r="C414" s="40" t="s">
        <v>887</v>
      </c>
      <c r="D414" s="45" t="s">
        <v>817</v>
      </c>
      <c r="E414" s="45" t="s">
        <v>817</v>
      </c>
    </row>
    <row r="415" spans="1:5" x14ac:dyDescent="0.35">
      <c r="A415" s="31" t="s">
        <v>295</v>
      </c>
      <c r="B415" s="31" t="s">
        <v>888</v>
      </c>
      <c r="C415" s="40" t="s">
        <v>889</v>
      </c>
      <c r="D415" s="45" t="s">
        <v>817</v>
      </c>
      <c r="E415" s="45" t="s">
        <v>817</v>
      </c>
    </row>
    <row r="416" spans="1:5" x14ac:dyDescent="0.35">
      <c r="A416" s="31" t="s">
        <v>292</v>
      </c>
      <c r="B416" s="31" t="s">
        <v>890</v>
      </c>
      <c r="C416" s="40" t="s">
        <v>891</v>
      </c>
      <c r="D416" s="45" t="s">
        <v>817</v>
      </c>
      <c r="E416" s="45" t="s">
        <v>817</v>
      </c>
    </row>
    <row r="417" spans="1:5" x14ac:dyDescent="0.35">
      <c r="A417" s="31" t="s">
        <v>292</v>
      </c>
      <c r="B417" s="31" t="s">
        <v>892</v>
      </c>
      <c r="C417" s="40" t="s">
        <v>893</v>
      </c>
      <c r="D417" s="45" t="s">
        <v>817</v>
      </c>
      <c r="E417" s="45" t="s">
        <v>817</v>
      </c>
    </row>
    <row r="418" spans="1:5" x14ac:dyDescent="0.35">
      <c r="A418" s="31" t="s">
        <v>292</v>
      </c>
      <c r="B418" s="31" t="s">
        <v>894</v>
      </c>
      <c r="C418" s="40" t="s">
        <v>895</v>
      </c>
      <c r="D418" s="45" t="s">
        <v>817</v>
      </c>
      <c r="E418" s="45" t="s">
        <v>817</v>
      </c>
    </row>
    <row r="419" spans="1:5" x14ac:dyDescent="0.35">
      <c r="A419" s="31" t="s">
        <v>292</v>
      </c>
      <c r="B419" s="31" t="s">
        <v>896</v>
      </c>
      <c r="C419" s="40" t="s">
        <v>897</v>
      </c>
      <c r="D419" s="45" t="s">
        <v>817</v>
      </c>
      <c r="E419" s="45" t="s">
        <v>817</v>
      </c>
    </row>
    <row r="420" spans="1:5" x14ac:dyDescent="0.35">
      <c r="A420" s="31" t="s">
        <v>292</v>
      </c>
      <c r="B420" s="31" t="s">
        <v>898</v>
      </c>
      <c r="C420" s="40" t="s">
        <v>899</v>
      </c>
      <c r="D420" s="45" t="s">
        <v>817</v>
      </c>
      <c r="E420" s="45" t="s">
        <v>817</v>
      </c>
    </row>
    <row r="421" spans="1:5" x14ac:dyDescent="0.35">
      <c r="A421" s="31" t="s">
        <v>292</v>
      </c>
      <c r="B421" s="31" t="s">
        <v>900</v>
      </c>
      <c r="C421" s="40" t="s">
        <v>901</v>
      </c>
      <c r="D421" s="45" t="s">
        <v>817</v>
      </c>
      <c r="E421" s="45" t="s">
        <v>817</v>
      </c>
    </row>
    <row r="422" spans="1:5" x14ac:dyDescent="0.35">
      <c r="A422" s="31" t="s">
        <v>292</v>
      </c>
      <c r="B422" s="31" t="s">
        <v>902</v>
      </c>
      <c r="C422" s="40" t="s">
        <v>903</v>
      </c>
      <c r="D422" s="45" t="s">
        <v>817</v>
      </c>
      <c r="E422" s="45" t="s">
        <v>817</v>
      </c>
    </row>
    <row r="423" spans="1:5" x14ac:dyDescent="0.35">
      <c r="A423" s="31" t="s">
        <v>292</v>
      </c>
      <c r="B423" s="31" t="s">
        <v>904</v>
      </c>
      <c r="C423" s="40" t="s">
        <v>905</v>
      </c>
      <c r="D423" s="45" t="s">
        <v>817</v>
      </c>
      <c r="E423" s="45" t="s">
        <v>817</v>
      </c>
    </row>
    <row r="424" spans="1:5" x14ac:dyDescent="0.35">
      <c r="A424" s="31" t="s">
        <v>292</v>
      </c>
      <c r="B424" s="31" t="s">
        <v>906</v>
      </c>
      <c r="C424" s="40" t="s">
        <v>907</v>
      </c>
      <c r="D424" s="45" t="s">
        <v>817</v>
      </c>
      <c r="E424" s="45" t="s">
        <v>817</v>
      </c>
    </row>
    <row r="425" spans="1:5" x14ac:dyDescent="0.35">
      <c r="A425" s="31" t="s">
        <v>292</v>
      </c>
      <c r="B425" s="31" t="s">
        <v>908</v>
      </c>
      <c r="C425" s="40" t="s">
        <v>909</v>
      </c>
      <c r="D425" s="45" t="s">
        <v>817</v>
      </c>
      <c r="E425" s="45" t="s">
        <v>817</v>
      </c>
    </row>
    <row r="426" spans="1:5" x14ac:dyDescent="0.35">
      <c r="A426" s="31" t="s">
        <v>292</v>
      </c>
      <c r="B426" s="31" t="s">
        <v>910</v>
      </c>
      <c r="C426" s="40" t="s">
        <v>911</v>
      </c>
      <c r="D426" s="45" t="s">
        <v>817</v>
      </c>
      <c r="E426" s="45" t="s">
        <v>817</v>
      </c>
    </row>
    <row r="427" spans="1:5" x14ac:dyDescent="0.35">
      <c r="A427" s="31" t="s">
        <v>292</v>
      </c>
      <c r="B427" s="31" t="s">
        <v>912</v>
      </c>
      <c r="C427" s="40" t="s">
        <v>913</v>
      </c>
      <c r="D427" s="45" t="s">
        <v>817</v>
      </c>
      <c r="E427" s="45" t="s">
        <v>817</v>
      </c>
    </row>
    <row r="428" spans="1:5" x14ac:dyDescent="0.35">
      <c r="A428" s="31" t="s">
        <v>269</v>
      </c>
      <c r="B428" s="31" t="s">
        <v>914</v>
      </c>
      <c r="C428" s="40" t="s">
        <v>915</v>
      </c>
      <c r="D428" s="45" t="s">
        <v>817</v>
      </c>
      <c r="E428" s="45" t="s">
        <v>817</v>
      </c>
    </row>
    <row r="429" spans="1:5" x14ac:dyDescent="0.35">
      <c r="A429" s="31" t="s">
        <v>295</v>
      </c>
      <c r="B429" s="31" t="s">
        <v>916</v>
      </c>
      <c r="C429" s="39" t="s">
        <v>917</v>
      </c>
      <c r="D429" s="45" t="s">
        <v>817</v>
      </c>
      <c r="E429" s="45" t="s">
        <v>817</v>
      </c>
    </row>
    <row r="430" spans="1:5" x14ac:dyDescent="0.35">
      <c r="A430" s="31" t="s">
        <v>295</v>
      </c>
      <c r="B430" s="31" t="s">
        <v>918</v>
      </c>
      <c r="C430" s="41" t="s">
        <v>918</v>
      </c>
      <c r="D430" s="45" t="s">
        <v>817</v>
      </c>
      <c r="E430" s="45" t="s">
        <v>817</v>
      </c>
    </row>
    <row r="431" spans="1:5" x14ac:dyDescent="0.35">
      <c r="A431" s="31" t="s">
        <v>295</v>
      </c>
      <c r="B431" s="31" t="s">
        <v>919</v>
      </c>
      <c r="C431" s="45" t="s">
        <v>817</v>
      </c>
      <c r="D431" s="45" t="s">
        <v>817</v>
      </c>
      <c r="E431" s="45" t="s">
        <v>817</v>
      </c>
    </row>
    <row r="432" spans="1:5" x14ac:dyDescent="0.35">
      <c r="A432" s="31" t="s">
        <v>295</v>
      </c>
      <c r="B432" s="31" t="s">
        <v>920</v>
      </c>
      <c r="C432" s="46" t="s">
        <v>921</v>
      </c>
      <c r="E432" s="4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E664-DDE1-4A05-B749-114C99B6F07F}">
  <dimension ref="B2:EZ53"/>
  <sheetViews>
    <sheetView showGridLines="0" topLeftCell="A25" zoomScaleNormal="90" workbookViewId="0">
      <selection activeCell="L33" sqref="L33"/>
    </sheetView>
  </sheetViews>
  <sheetFormatPr defaultRowHeight="14.5" x14ac:dyDescent="0.35"/>
  <cols>
    <col min="2" max="2" width="13.81640625" customWidth="1"/>
    <col min="3" max="3" width="13.1796875" customWidth="1"/>
    <col min="4" max="4" width="22.81640625" customWidth="1"/>
    <col min="5" max="5" width="25.453125" customWidth="1"/>
    <col min="6" max="6" width="29.90625" customWidth="1"/>
    <col min="7" max="7" width="18" customWidth="1"/>
    <col min="8" max="8" width="20.453125" customWidth="1"/>
    <col min="9" max="153" width="8.7265625" customWidth="1"/>
  </cols>
  <sheetData>
    <row r="2" spans="2:156" x14ac:dyDescent="0.35">
      <c r="B2" s="5" t="s">
        <v>210</v>
      </c>
    </row>
    <row r="3" spans="2:156" x14ac:dyDescent="0.35">
      <c r="G3" t="s">
        <v>190</v>
      </c>
      <c r="BR3" t="s">
        <v>211</v>
      </c>
      <c r="BS3" t="s">
        <v>211</v>
      </c>
    </row>
    <row r="4" spans="2:156" x14ac:dyDescent="0.35">
      <c r="B4" s="7" t="s">
        <v>112</v>
      </c>
      <c r="C4" s="8" t="s">
        <v>113</v>
      </c>
      <c r="D4" s="9" t="s">
        <v>114</v>
      </c>
      <c r="E4" s="7" t="s">
        <v>2</v>
      </c>
      <c r="F4" s="2" t="s">
        <v>212</v>
      </c>
      <c r="G4" s="2" t="s">
        <v>115</v>
      </c>
      <c r="H4" s="2" t="s">
        <v>74</v>
      </c>
      <c r="I4" s="2" t="s">
        <v>51</v>
      </c>
      <c r="J4" s="2" t="s">
        <v>67</v>
      </c>
      <c r="K4" s="2" t="s">
        <v>102</v>
      </c>
      <c r="L4" s="2" t="s">
        <v>68</v>
      </c>
      <c r="M4" s="2" t="s">
        <v>100</v>
      </c>
      <c r="N4" s="2" t="s">
        <v>138</v>
      </c>
      <c r="O4" s="2" t="s">
        <v>208</v>
      </c>
      <c r="P4" s="2" t="s">
        <v>116</v>
      </c>
      <c r="Q4" s="2" t="s">
        <v>117</v>
      </c>
      <c r="R4" s="2" t="s">
        <v>45</v>
      </c>
      <c r="S4" s="2" t="s">
        <v>46</v>
      </c>
      <c r="T4" s="2" t="s">
        <v>47</v>
      </c>
      <c r="U4" s="2" t="s">
        <v>55</v>
      </c>
      <c r="V4" s="2" t="s">
        <v>56</v>
      </c>
      <c r="W4" s="2" t="s">
        <v>118</v>
      </c>
      <c r="X4" s="2" t="s">
        <v>110</v>
      </c>
      <c r="Y4" s="2" t="s">
        <v>119</v>
      </c>
      <c r="Z4" s="2" t="s">
        <v>49</v>
      </c>
      <c r="AA4" s="2" t="s">
        <v>8</v>
      </c>
      <c r="AB4" s="2" t="s">
        <v>61</v>
      </c>
      <c r="AC4" s="2" t="s">
        <v>120</v>
      </c>
      <c r="AD4" s="2" t="s">
        <v>37</v>
      </c>
      <c r="AE4" s="2" t="s">
        <v>122</v>
      </c>
      <c r="AF4" s="2" t="s">
        <v>35</v>
      </c>
      <c r="AG4" s="2" t="s">
        <v>121</v>
      </c>
      <c r="AH4" s="2" t="s">
        <v>40</v>
      </c>
      <c r="AI4" s="2" t="s">
        <v>123</v>
      </c>
      <c r="AJ4" s="2" t="s">
        <v>128</v>
      </c>
      <c r="AK4" s="2" t="s">
        <v>48</v>
      </c>
      <c r="AL4" s="2" t="s">
        <v>76</v>
      </c>
      <c r="AM4" s="2" t="s">
        <v>9</v>
      </c>
      <c r="AN4" s="2" t="s">
        <v>124</v>
      </c>
      <c r="AO4" s="2" t="s">
        <v>125</v>
      </c>
      <c r="AP4" s="2" t="s">
        <v>126</v>
      </c>
      <c r="AQ4" s="2" t="s">
        <v>57</v>
      </c>
      <c r="AR4" s="2" t="s">
        <v>99</v>
      </c>
      <c r="AS4" s="2" t="s">
        <v>109</v>
      </c>
      <c r="AT4" s="2" t="s">
        <v>52</v>
      </c>
      <c r="AU4" s="2" t="s">
        <v>10</v>
      </c>
      <c r="AV4" s="2" t="s">
        <v>11</v>
      </c>
      <c r="AW4" s="2" t="s">
        <v>50</v>
      </c>
      <c r="AX4" s="2" t="s">
        <v>75</v>
      </c>
      <c r="AY4" s="2" t="s">
        <v>12</v>
      </c>
      <c r="AZ4" s="2" t="s">
        <v>62</v>
      </c>
      <c r="BA4" s="2" t="s">
        <v>209</v>
      </c>
      <c r="BB4" s="2" t="s">
        <v>66</v>
      </c>
      <c r="BC4" s="2" t="s">
        <v>65</v>
      </c>
      <c r="BD4" s="2" t="s">
        <v>127</v>
      </c>
      <c r="BE4" s="2" t="s">
        <v>107</v>
      </c>
      <c r="BF4" s="2" t="s">
        <v>108</v>
      </c>
      <c r="BG4" s="2" t="s">
        <v>31</v>
      </c>
      <c r="BH4" s="2" t="s">
        <v>129</v>
      </c>
      <c r="BI4" s="2" t="s">
        <v>130</v>
      </c>
      <c r="BJ4" s="2" t="s">
        <v>131</v>
      </c>
      <c r="BK4" s="2" t="s">
        <v>34</v>
      </c>
      <c r="BL4" s="2" t="s">
        <v>132</v>
      </c>
      <c r="BM4" s="2" t="s">
        <v>133</v>
      </c>
      <c r="BN4" s="2" t="s">
        <v>134</v>
      </c>
      <c r="BO4" s="2" t="s">
        <v>135</v>
      </c>
      <c r="BP4" s="2" t="s">
        <v>136</v>
      </c>
      <c r="BQ4" s="2" t="s">
        <v>137</v>
      </c>
      <c r="BR4" s="2" t="s">
        <v>38</v>
      </c>
      <c r="BS4" s="2" t="s">
        <v>39</v>
      </c>
      <c r="BT4" s="2" t="s">
        <v>41</v>
      </c>
      <c r="BU4" s="2" t="s">
        <v>43</v>
      </c>
      <c r="BV4" s="2" t="s">
        <v>44</v>
      </c>
      <c r="BW4" s="2" t="s">
        <v>73</v>
      </c>
      <c r="BX4" s="2" t="s">
        <v>140</v>
      </c>
      <c r="BY4" s="2" t="s">
        <v>141</v>
      </c>
      <c r="BZ4" s="2" t="s">
        <v>142</v>
      </c>
      <c r="CA4" s="2" t="s">
        <v>143</v>
      </c>
      <c r="CB4" s="2" t="s">
        <v>144</v>
      </c>
      <c r="CC4" s="2" t="s">
        <v>145</v>
      </c>
      <c r="CD4" s="2" t="s">
        <v>146</v>
      </c>
      <c r="CE4" s="2" t="s">
        <v>147</v>
      </c>
      <c r="CF4" s="2" t="s">
        <v>77</v>
      </c>
      <c r="CG4" s="2" t="s">
        <v>78</v>
      </c>
      <c r="CH4" s="2" t="s">
        <v>79</v>
      </c>
      <c r="CI4" s="2" t="s">
        <v>80</v>
      </c>
      <c r="CJ4" s="2" t="s">
        <v>81</v>
      </c>
      <c r="CK4" s="2" t="s">
        <v>82</v>
      </c>
      <c r="CL4" s="2" t="s">
        <v>83</v>
      </c>
      <c r="CM4" s="2" t="s">
        <v>84</v>
      </c>
      <c r="CN4" s="2" t="s">
        <v>22</v>
      </c>
      <c r="CO4" s="2" t="s">
        <v>85</v>
      </c>
      <c r="CP4" s="2" t="s">
        <v>86</v>
      </c>
      <c r="CQ4" s="2" t="s">
        <v>87</v>
      </c>
      <c r="CR4" s="2" t="s">
        <v>88</v>
      </c>
      <c r="CS4" s="2" t="s">
        <v>89</v>
      </c>
      <c r="CT4" s="2" t="s">
        <v>23</v>
      </c>
      <c r="CU4" s="2" t="s">
        <v>90</v>
      </c>
      <c r="CV4" s="2" t="s">
        <v>91</v>
      </c>
      <c r="CW4" s="2" t="s">
        <v>92</v>
      </c>
      <c r="CX4" s="2" t="s">
        <v>13</v>
      </c>
      <c r="CY4" s="2" t="s">
        <v>14</v>
      </c>
      <c r="CZ4" s="2" t="s">
        <v>3</v>
      </c>
      <c r="DA4" s="2" t="s">
        <v>4</v>
      </c>
      <c r="DB4" s="2" t="s">
        <v>93</v>
      </c>
      <c r="DC4" s="2" t="s">
        <v>94</v>
      </c>
      <c r="DD4" s="2" t="s">
        <v>95</v>
      </c>
      <c r="DE4" s="2" t="s">
        <v>96</v>
      </c>
      <c r="DF4" s="2" t="s">
        <v>97</v>
      </c>
      <c r="DG4" s="2" t="s">
        <v>98</v>
      </c>
      <c r="DH4" s="2" t="s">
        <v>5</v>
      </c>
      <c r="DI4" s="2" t="s">
        <v>6</v>
      </c>
      <c r="DJ4" s="2" t="s">
        <v>15</v>
      </c>
      <c r="DK4" s="2" t="s">
        <v>148</v>
      </c>
      <c r="DL4" s="2" t="s">
        <v>149</v>
      </c>
      <c r="DM4" s="2" t="s">
        <v>150</v>
      </c>
      <c r="DN4" s="2" t="s">
        <v>59</v>
      </c>
      <c r="DO4" s="2" t="s">
        <v>60</v>
      </c>
      <c r="DP4" s="2" t="s">
        <v>63</v>
      </c>
      <c r="DQ4" s="2" t="s">
        <v>64</v>
      </c>
      <c r="DR4" s="2" t="s">
        <v>71</v>
      </c>
      <c r="DS4" s="2" t="s">
        <v>106</v>
      </c>
      <c r="DT4" s="2" t="s">
        <v>139</v>
      </c>
      <c r="DU4" s="2" t="s">
        <v>16</v>
      </c>
      <c r="DV4" s="2" t="s">
        <v>17</v>
      </c>
      <c r="DW4" s="2" t="s">
        <v>18</v>
      </c>
      <c r="DX4" s="2" t="s">
        <v>32</v>
      </c>
      <c r="DY4" s="2" t="s">
        <v>33</v>
      </c>
      <c r="DZ4" s="2" t="s">
        <v>151</v>
      </c>
      <c r="EA4" s="2" t="s">
        <v>152</v>
      </c>
      <c r="EB4" s="2" t="s">
        <v>153</v>
      </c>
      <c r="EC4" s="2" t="s">
        <v>154</v>
      </c>
      <c r="ED4" s="2" t="s">
        <v>155</v>
      </c>
      <c r="EE4" s="2" t="s">
        <v>156</v>
      </c>
      <c r="EF4" s="2" t="s">
        <v>157</v>
      </c>
      <c r="EG4" s="2" t="s">
        <v>158</v>
      </c>
      <c r="EH4" s="2" t="s">
        <v>36</v>
      </c>
      <c r="EI4" s="2" t="s">
        <v>72</v>
      </c>
      <c r="EJ4" s="2" t="s">
        <v>7</v>
      </c>
      <c r="EK4" s="2" t="s">
        <v>42</v>
      </c>
      <c r="EL4" s="2" t="s">
        <v>159</v>
      </c>
      <c r="EM4" s="2" t="s">
        <v>160</v>
      </c>
      <c r="EN4" s="2" t="s">
        <v>161</v>
      </c>
      <c r="EO4" s="2" t="s">
        <v>162</v>
      </c>
      <c r="EP4" s="2" t="s">
        <v>163</v>
      </c>
      <c r="EQ4" s="2" t="s">
        <v>164</v>
      </c>
      <c r="ER4" s="2" t="s">
        <v>53</v>
      </c>
      <c r="ES4" s="2" t="s">
        <v>19</v>
      </c>
      <c r="ET4" s="2" t="s">
        <v>165</v>
      </c>
      <c r="EU4" s="2" t="s">
        <v>54</v>
      </c>
      <c r="EV4" s="2" t="s">
        <v>166</v>
      </c>
      <c r="EW4" s="2" t="s">
        <v>58</v>
      </c>
      <c r="EX4" s="2" t="s">
        <v>69</v>
      </c>
      <c r="EY4" s="2" t="s">
        <v>70</v>
      </c>
      <c r="EZ4" s="2" t="s">
        <v>20</v>
      </c>
    </row>
    <row r="5" spans="2:156" x14ac:dyDescent="0.35">
      <c r="B5" s="10">
        <v>1</v>
      </c>
      <c r="C5" s="10" t="s">
        <v>167</v>
      </c>
      <c r="D5" s="10" t="s">
        <v>168</v>
      </c>
      <c r="E5" s="3" t="s">
        <v>169</v>
      </c>
      <c r="F5" s="6">
        <v>3603.6118163771566</v>
      </c>
      <c r="G5" s="4">
        <v>0</v>
      </c>
      <c r="H5" s="4">
        <v>0</v>
      </c>
      <c r="I5" s="4">
        <v>2.3415971554201342</v>
      </c>
      <c r="J5" s="4">
        <v>36.949506391723254</v>
      </c>
      <c r="K5" s="4">
        <v>0</v>
      </c>
      <c r="L5" s="4">
        <v>263.92418851200108</v>
      </c>
      <c r="M5" s="4">
        <v>9.4338592353138271</v>
      </c>
      <c r="N5" s="4">
        <v>0</v>
      </c>
      <c r="O5" s="4">
        <v>0</v>
      </c>
      <c r="P5" s="4">
        <v>0</v>
      </c>
      <c r="Q5" s="4">
        <v>0</v>
      </c>
      <c r="R5" s="4">
        <v>63.232432147701701</v>
      </c>
      <c r="S5" s="4">
        <v>0</v>
      </c>
      <c r="T5" s="4">
        <v>24.140686907847932</v>
      </c>
      <c r="U5" s="4">
        <v>2.019073068029996</v>
      </c>
      <c r="V5" s="4">
        <v>0.24381259689418816</v>
      </c>
      <c r="W5" s="4">
        <v>0</v>
      </c>
      <c r="X5" s="4">
        <v>0</v>
      </c>
      <c r="Y5" s="4">
        <v>0</v>
      </c>
      <c r="Z5" s="4">
        <v>79.277173835328071</v>
      </c>
      <c r="AA5" s="4">
        <v>0</v>
      </c>
      <c r="AB5" s="4">
        <v>89.826517586788626</v>
      </c>
      <c r="AC5" s="4">
        <v>0</v>
      </c>
      <c r="AD5" s="4">
        <v>43.634144127522944</v>
      </c>
      <c r="AE5" s="4">
        <v>79.721404204708747</v>
      </c>
      <c r="AF5" s="4">
        <v>41.041210269612804</v>
      </c>
      <c r="AG5" s="4">
        <v>0</v>
      </c>
      <c r="AH5" s="4">
        <v>23.565357794710764</v>
      </c>
      <c r="AI5" s="4">
        <v>0</v>
      </c>
      <c r="AJ5" s="4">
        <v>0</v>
      </c>
      <c r="AK5" s="4">
        <v>129.07592605221106</v>
      </c>
      <c r="AL5" s="4">
        <v>181.91969678280265</v>
      </c>
      <c r="AM5" s="4">
        <v>13.960584413390228</v>
      </c>
      <c r="AN5" s="4">
        <v>0</v>
      </c>
      <c r="AO5" s="4">
        <v>0</v>
      </c>
      <c r="AP5" s="4">
        <v>0</v>
      </c>
      <c r="AQ5" s="4">
        <v>21.93919490725235</v>
      </c>
      <c r="AR5" s="4">
        <v>1.248933744966443</v>
      </c>
      <c r="AS5" s="4">
        <v>0</v>
      </c>
      <c r="AT5" s="4">
        <v>8.4053574454791722</v>
      </c>
      <c r="AU5" s="4">
        <v>0</v>
      </c>
      <c r="AV5" s="4">
        <v>53.589562526020416</v>
      </c>
      <c r="AW5" s="4">
        <v>4.6411870214561928</v>
      </c>
      <c r="AX5" s="4">
        <v>87.55555415840071</v>
      </c>
      <c r="AY5" s="4">
        <v>0</v>
      </c>
      <c r="AZ5" s="4">
        <v>16.092035148873173</v>
      </c>
      <c r="BA5" s="4">
        <v>0</v>
      </c>
      <c r="BB5" s="4">
        <v>26.365857347911323</v>
      </c>
      <c r="BC5" s="4">
        <v>35.569998833387174</v>
      </c>
      <c r="BD5" s="4">
        <v>0</v>
      </c>
      <c r="BE5" s="4">
        <v>0</v>
      </c>
      <c r="BF5" s="4">
        <v>5.524369469637584</v>
      </c>
      <c r="BG5" s="4">
        <v>28.957182014615562</v>
      </c>
      <c r="BH5" s="4">
        <v>0</v>
      </c>
      <c r="BI5" s="4">
        <v>0</v>
      </c>
      <c r="BJ5" s="4">
        <v>0</v>
      </c>
      <c r="BK5" s="4">
        <v>38.651242750039756</v>
      </c>
      <c r="BL5" s="4">
        <v>0</v>
      </c>
      <c r="BM5" s="4">
        <v>0</v>
      </c>
      <c r="BN5" s="4">
        <v>0</v>
      </c>
      <c r="BO5" s="4">
        <v>0</v>
      </c>
      <c r="BP5" s="4">
        <v>0</v>
      </c>
      <c r="BQ5" s="4">
        <v>0</v>
      </c>
      <c r="BR5" s="4">
        <v>19.77274407034767</v>
      </c>
      <c r="BS5" s="4">
        <v>19.338777805373187</v>
      </c>
      <c r="BT5" s="4">
        <v>15.070965440738284</v>
      </c>
      <c r="BU5" s="4">
        <v>7.0736570329530313</v>
      </c>
      <c r="BV5" s="4">
        <v>39.512938862841615</v>
      </c>
      <c r="BW5" s="4">
        <v>0</v>
      </c>
      <c r="BX5" s="4">
        <v>0</v>
      </c>
      <c r="BY5" s="4">
        <v>0</v>
      </c>
      <c r="BZ5" s="4">
        <v>0</v>
      </c>
      <c r="CA5" s="4">
        <v>0</v>
      </c>
      <c r="CB5" s="4">
        <v>0</v>
      </c>
      <c r="CC5" s="4">
        <v>0</v>
      </c>
      <c r="CD5" s="4">
        <v>0</v>
      </c>
      <c r="CE5" s="4">
        <v>0</v>
      </c>
      <c r="CF5" s="4">
        <v>20.823743510872486</v>
      </c>
      <c r="CG5" s="4">
        <v>92.052166873095359</v>
      </c>
      <c r="CH5" s="4">
        <v>9.8221697886442954</v>
      </c>
      <c r="CI5" s="4">
        <v>14.216729679495307</v>
      </c>
      <c r="CJ5" s="4">
        <v>126.59246583156251</v>
      </c>
      <c r="CK5" s="4">
        <v>48.578883097672481</v>
      </c>
      <c r="CL5" s="4">
        <v>63.016931116751749</v>
      </c>
      <c r="CM5" s="4">
        <v>3.9766864879328923</v>
      </c>
      <c r="CN5" s="4">
        <v>35.551059438551725</v>
      </c>
      <c r="CO5" s="4">
        <v>25.263342184123587</v>
      </c>
      <c r="CP5" s="4">
        <v>3.7710152924375859</v>
      </c>
      <c r="CQ5" s="4">
        <v>6.6699545061745091</v>
      </c>
      <c r="CR5" s="4">
        <v>1.9281567421374786</v>
      </c>
      <c r="CS5" s="4">
        <v>7.6121173128398691</v>
      </c>
      <c r="CT5" s="4">
        <v>86.243708601535999</v>
      </c>
      <c r="CU5" s="4">
        <v>38.226913649743977</v>
      </c>
      <c r="CV5" s="4">
        <v>8.2150266772169402</v>
      </c>
      <c r="CW5" s="4">
        <v>18.904424017651042</v>
      </c>
      <c r="CX5" s="4">
        <v>0.5326385146864312</v>
      </c>
      <c r="CY5" s="4">
        <v>5.3253646392942313</v>
      </c>
      <c r="CZ5" s="4">
        <v>22.991630734375505</v>
      </c>
      <c r="DA5" s="4">
        <v>4.8594358405949976</v>
      </c>
      <c r="DB5" s="4">
        <v>263.18140809189629</v>
      </c>
      <c r="DC5" s="4">
        <v>17.549562760894659</v>
      </c>
      <c r="DD5" s="4">
        <v>5.1933096317396039</v>
      </c>
      <c r="DE5" s="4">
        <v>13.530312248163771</v>
      </c>
      <c r="DF5" s="4">
        <v>15.582274224557962</v>
      </c>
      <c r="DG5" s="4">
        <v>2.5268946680536937</v>
      </c>
      <c r="DH5" s="4">
        <v>6.9599132081312787</v>
      </c>
      <c r="DI5" s="4">
        <v>11.5174955835303</v>
      </c>
      <c r="DJ5" s="4">
        <v>12.30431268714241</v>
      </c>
      <c r="DK5" s="4">
        <v>0</v>
      </c>
      <c r="DL5" s="4">
        <v>0</v>
      </c>
      <c r="DM5" s="4">
        <v>0</v>
      </c>
      <c r="DN5" s="4">
        <v>26.976106872300193</v>
      </c>
      <c r="DO5" s="4">
        <v>2.9310903062758453</v>
      </c>
      <c r="DP5" s="4">
        <v>6.4937143029395106</v>
      </c>
      <c r="DQ5" s="4">
        <v>6.9957034336979858</v>
      </c>
      <c r="DR5" s="4">
        <v>16.561781703278534</v>
      </c>
      <c r="DS5" s="4">
        <v>0</v>
      </c>
      <c r="DT5" s="4">
        <v>0</v>
      </c>
      <c r="DU5" s="4">
        <v>28.958555635636944</v>
      </c>
      <c r="DV5" s="4">
        <v>63.402076358658171</v>
      </c>
      <c r="DW5" s="4">
        <v>30.28091364194367</v>
      </c>
      <c r="DX5" s="4">
        <v>0</v>
      </c>
      <c r="DY5" s="4">
        <v>8.03099798271111</v>
      </c>
      <c r="DZ5" s="4">
        <v>0</v>
      </c>
      <c r="EA5" s="4">
        <v>0</v>
      </c>
      <c r="EB5" s="4">
        <v>0</v>
      </c>
      <c r="EC5" s="4">
        <v>0</v>
      </c>
      <c r="ED5" s="4">
        <v>0</v>
      </c>
      <c r="EE5" s="4">
        <v>0</v>
      </c>
      <c r="EF5" s="4">
        <v>0</v>
      </c>
      <c r="EG5" s="4">
        <v>0</v>
      </c>
      <c r="EH5" s="4">
        <v>4.0759622712894563</v>
      </c>
      <c r="EI5" s="4">
        <v>0.94375039675763672</v>
      </c>
      <c r="EJ5" s="4">
        <v>0</v>
      </c>
      <c r="EK5" s="4">
        <v>557.65271764869999</v>
      </c>
      <c r="EL5" s="4">
        <v>0</v>
      </c>
      <c r="EM5" s="4">
        <v>0</v>
      </c>
      <c r="EN5" s="4">
        <v>0</v>
      </c>
      <c r="EO5" s="4">
        <v>0</v>
      </c>
      <c r="EP5" s="4">
        <v>0</v>
      </c>
      <c r="EQ5" s="4">
        <v>0</v>
      </c>
      <c r="ER5" s="4">
        <v>101.10625247490869</v>
      </c>
      <c r="ES5" s="4">
        <v>0</v>
      </c>
      <c r="ET5" s="4">
        <v>0</v>
      </c>
      <c r="EU5" s="4">
        <v>51.128981002005055</v>
      </c>
      <c r="EV5" s="4">
        <v>0</v>
      </c>
      <c r="EW5" s="4">
        <v>54.018417007180581</v>
      </c>
      <c r="EX5" s="4">
        <v>81.460942101159034</v>
      </c>
      <c r="EY5" s="4">
        <v>20.29796027194346</v>
      </c>
      <c r="EZ5" s="4">
        <v>74.270637537688998</v>
      </c>
    </row>
    <row r="6" spans="2:156" x14ac:dyDescent="0.35">
      <c r="B6" s="10">
        <v>2</v>
      </c>
      <c r="C6" s="10" t="s">
        <v>167</v>
      </c>
      <c r="D6" s="10" t="s">
        <v>168</v>
      </c>
      <c r="E6" s="3" t="s">
        <v>170</v>
      </c>
      <c r="F6" s="6">
        <v>6350.47294392203</v>
      </c>
      <c r="G6" s="4">
        <v>0</v>
      </c>
      <c r="H6" s="4">
        <v>0</v>
      </c>
      <c r="I6" s="4">
        <v>180.07267912399999</v>
      </c>
      <c r="J6" s="4">
        <v>35.639512064000002</v>
      </c>
      <c r="K6" s="4">
        <v>0</v>
      </c>
      <c r="L6" s="4">
        <v>99.194184595999999</v>
      </c>
      <c r="M6" s="4">
        <v>11.724814400000001</v>
      </c>
      <c r="N6" s="4">
        <v>0</v>
      </c>
      <c r="O6" s="4">
        <v>0</v>
      </c>
      <c r="P6" s="4">
        <v>0</v>
      </c>
      <c r="Q6" s="4">
        <v>0</v>
      </c>
      <c r="R6" s="4">
        <v>23.522465333</v>
      </c>
      <c r="S6" s="4">
        <v>0</v>
      </c>
      <c r="T6" s="4">
        <v>22.140942302399999</v>
      </c>
      <c r="U6" s="4">
        <v>10.614438000000002</v>
      </c>
      <c r="V6" s="4">
        <v>15.6136005</v>
      </c>
      <c r="W6" s="4">
        <v>0</v>
      </c>
      <c r="X6" s="4">
        <v>0</v>
      </c>
      <c r="Y6" s="4">
        <v>0</v>
      </c>
      <c r="Z6" s="4">
        <v>47.957245058577186</v>
      </c>
      <c r="AA6" s="4">
        <v>12.835037051942448</v>
      </c>
      <c r="AB6" s="4">
        <v>93.956719199999995</v>
      </c>
      <c r="AC6" s="4">
        <v>0</v>
      </c>
      <c r="AD6" s="4">
        <v>14.755776639999999</v>
      </c>
      <c r="AE6" s="4">
        <v>56.921898464999998</v>
      </c>
      <c r="AF6" s="4">
        <v>30.439335000000003</v>
      </c>
      <c r="AG6" s="4">
        <v>0</v>
      </c>
      <c r="AH6" s="4">
        <v>16.955120013000002</v>
      </c>
      <c r="AI6" s="4">
        <v>0</v>
      </c>
      <c r="AJ6" s="4">
        <v>0</v>
      </c>
      <c r="AK6" s="4">
        <v>74.122523999999999</v>
      </c>
      <c r="AL6" s="4">
        <v>107.08625495436767</v>
      </c>
      <c r="AM6" s="4">
        <v>8.217142794395885</v>
      </c>
      <c r="AN6" s="4">
        <v>0</v>
      </c>
      <c r="AO6" s="4">
        <v>0</v>
      </c>
      <c r="AP6" s="4">
        <v>0</v>
      </c>
      <c r="AQ6" s="4">
        <v>7.7135808400000005</v>
      </c>
      <c r="AR6" s="4">
        <v>19.682882000000003</v>
      </c>
      <c r="AS6" s="4">
        <v>0</v>
      </c>
      <c r="AT6" s="4">
        <v>4.7199024000000005</v>
      </c>
      <c r="AU6" s="4">
        <v>2.1171503216486389</v>
      </c>
      <c r="AV6" s="4">
        <v>21.888809500018205</v>
      </c>
      <c r="AW6" s="4">
        <v>0.44983569568111142</v>
      </c>
      <c r="AX6" s="4">
        <v>3.4915169500000003</v>
      </c>
      <c r="AY6" s="4">
        <v>0.81853058072231077</v>
      </c>
      <c r="AZ6" s="4">
        <v>0.30268045000000005</v>
      </c>
      <c r="BA6" s="4">
        <v>0</v>
      </c>
      <c r="BB6" s="4">
        <v>21.230338616375839</v>
      </c>
      <c r="BC6" s="4">
        <v>35.518910365948997</v>
      </c>
      <c r="BD6" s="4">
        <v>0</v>
      </c>
      <c r="BE6" s="4">
        <v>2.4350900000000002</v>
      </c>
      <c r="BF6" s="4">
        <v>24.547208749999999</v>
      </c>
      <c r="BG6" s="4">
        <v>27.111142768677418</v>
      </c>
      <c r="BH6" s="4">
        <v>0</v>
      </c>
      <c r="BI6" s="4">
        <v>0</v>
      </c>
      <c r="BJ6" s="4">
        <v>0</v>
      </c>
      <c r="BK6" s="4">
        <v>142.23129270499999</v>
      </c>
      <c r="BL6" s="4">
        <v>0</v>
      </c>
      <c r="BM6" s="4">
        <v>0</v>
      </c>
      <c r="BN6" s="4">
        <v>0</v>
      </c>
      <c r="BO6" s="4">
        <v>0</v>
      </c>
      <c r="BP6" s="4">
        <v>0</v>
      </c>
      <c r="BQ6" s="4">
        <v>0</v>
      </c>
      <c r="BR6" s="4">
        <v>18.701157249999998</v>
      </c>
      <c r="BS6" s="4">
        <v>4.4749132499999993</v>
      </c>
      <c r="BT6" s="4">
        <v>146.8720936</v>
      </c>
      <c r="BU6" s="4">
        <v>90.923445450000003</v>
      </c>
      <c r="BV6" s="4">
        <v>35.975673450000002</v>
      </c>
      <c r="BW6" s="4">
        <v>26.625642549999995</v>
      </c>
      <c r="BX6" s="4">
        <v>0</v>
      </c>
      <c r="BY6" s="4">
        <v>0</v>
      </c>
      <c r="BZ6" s="4">
        <v>0</v>
      </c>
      <c r="CA6" s="4">
        <v>0</v>
      </c>
      <c r="CB6" s="4">
        <v>0</v>
      </c>
      <c r="CC6" s="4">
        <v>0</v>
      </c>
      <c r="CD6" s="4">
        <v>0</v>
      </c>
      <c r="CE6" s="4">
        <v>0</v>
      </c>
      <c r="CF6" s="4">
        <v>12.035258263867135</v>
      </c>
      <c r="CG6" s="4">
        <v>12.4267848</v>
      </c>
      <c r="CH6" s="4">
        <v>1.5007665000000001</v>
      </c>
      <c r="CI6" s="4">
        <v>0.23004449999999999</v>
      </c>
      <c r="CJ6" s="4">
        <v>15.078467585</v>
      </c>
      <c r="CK6" s="4">
        <v>10.588984849999999</v>
      </c>
      <c r="CL6" s="4">
        <v>42.297015144499994</v>
      </c>
      <c r="CM6" s="4">
        <v>6.7789002049999993</v>
      </c>
      <c r="CN6" s="4">
        <v>29.131046245</v>
      </c>
      <c r="CO6" s="4">
        <v>5.9649991124999993</v>
      </c>
      <c r="CP6" s="4">
        <v>4.5147145999999996</v>
      </c>
      <c r="CQ6" s="4">
        <v>17.499667689999999</v>
      </c>
      <c r="CR6" s="4">
        <v>5.6734085799999994</v>
      </c>
      <c r="CS6" s="4">
        <v>2.734279715</v>
      </c>
      <c r="CT6" s="4">
        <v>16.0198608</v>
      </c>
      <c r="CU6" s="4">
        <v>50.921080375000003</v>
      </c>
      <c r="CV6" s="4">
        <v>22.223978389999996</v>
      </c>
      <c r="CW6" s="4">
        <v>18.989662265</v>
      </c>
      <c r="CX6" s="4">
        <v>5.6791965168621603</v>
      </c>
      <c r="CY6" s="4">
        <v>6.0239539389803722</v>
      </c>
      <c r="CZ6" s="4">
        <v>2.8999563524679206</v>
      </c>
      <c r="DA6" s="4">
        <v>6.0442777163651398</v>
      </c>
      <c r="DB6" s="4">
        <v>43.121658949999997</v>
      </c>
      <c r="DC6" s="4">
        <v>18.016793119999999</v>
      </c>
      <c r="DD6" s="4">
        <v>9.9249230600000082</v>
      </c>
      <c r="DE6" s="4">
        <v>4.1102014299999983</v>
      </c>
      <c r="DF6" s="4">
        <v>8.076351185</v>
      </c>
      <c r="DG6" s="4">
        <v>5.1880512000000003</v>
      </c>
      <c r="DH6" s="4">
        <v>3.2090322584461397</v>
      </c>
      <c r="DI6" s="4">
        <v>45.954903773141069</v>
      </c>
      <c r="DJ6" s="4">
        <v>4.1743475692311991</v>
      </c>
      <c r="DK6" s="4">
        <v>0</v>
      </c>
      <c r="DL6" s="4">
        <v>0</v>
      </c>
      <c r="DM6" s="4">
        <v>0</v>
      </c>
      <c r="DN6" s="4">
        <v>70.172124313000012</v>
      </c>
      <c r="DO6" s="4">
        <v>17.449666483333335</v>
      </c>
      <c r="DP6" s="4">
        <v>7.0405922555</v>
      </c>
      <c r="DQ6" s="4">
        <v>24.16161035</v>
      </c>
      <c r="DR6" s="4">
        <v>67.401760474999989</v>
      </c>
      <c r="DS6" s="4">
        <v>0</v>
      </c>
      <c r="DT6" s="4">
        <v>0</v>
      </c>
      <c r="DU6" s="4">
        <v>13.65086556396141</v>
      </c>
      <c r="DV6" s="4">
        <v>152.70245761012754</v>
      </c>
      <c r="DW6" s="4">
        <v>46.996575067917945</v>
      </c>
      <c r="DX6" s="4">
        <v>0</v>
      </c>
      <c r="DY6" s="4">
        <v>27.99418240114197</v>
      </c>
      <c r="DZ6" s="4">
        <v>0</v>
      </c>
      <c r="EA6" s="4">
        <v>0</v>
      </c>
      <c r="EB6" s="4">
        <v>0</v>
      </c>
      <c r="EC6" s="4">
        <v>0</v>
      </c>
      <c r="ED6" s="4">
        <v>0</v>
      </c>
      <c r="EE6" s="4">
        <v>0</v>
      </c>
      <c r="EF6" s="4">
        <v>0</v>
      </c>
      <c r="EG6" s="4">
        <v>0</v>
      </c>
      <c r="EH6" s="4">
        <v>16.69768046182153</v>
      </c>
      <c r="EI6" s="4">
        <v>23.359267700064958</v>
      </c>
      <c r="EJ6" s="4">
        <v>637.53393442098638</v>
      </c>
      <c r="EK6" s="4">
        <v>2540.6009961342074</v>
      </c>
      <c r="EL6" s="4">
        <v>0</v>
      </c>
      <c r="EM6" s="4">
        <v>0</v>
      </c>
      <c r="EN6" s="4">
        <v>0</v>
      </c>
      <c r="EO6" s="4">
        <v>0</v>
      </c>
      <c r="EP6" s="4">
        <v>0</v>
      </c>
      <c r="EQ6" s="4">
        <v>0</v>
      </c>
      <c r="ER6" s="4">
        <v>68.695942764076506</v>
      </c>
      <c r="ES6" s="4">
        <v>0</v>
      </c>
      <c r="ET6" s="4">
        <v>0</v>
      </c>
      <c r="EU6" s="4">
        <v>241.15795634933477</v>
      </c>
      <c r="EV6" s="4">
        <v>0</v>
      </c>
      <c r="EW6" s="4">
        <v>39.139610855624689</v>
      </c>
      <c r="EX6" s="4">
        <v>328.69374522628544</v>
      </c>
      <c r="EY6" s="4">
        <v>60.332163096150389</v>
      </c>
      <c r="EZ6" s="4">
        <v>53.233829211378072</v>
      </c>
    </row>
    <row r="7" spans="2:156" x14ac:dyDescent="0.35">
      <c r="B7" s="10">
        <v>2</v>
      </c>
      <c r="C7" s="10"/>
      <c r="D7" s="10" t="s">
        <v>168</v>
      </c>
      <c r="E7" s="3" t="s">
        <v>171</v>
      </c>
      <c r="F7" s="6">
        <v>6068.3290393311127</v>
      </c>
      <c r="G7" s="4">
        <v>0</v>
      </c>
      <c r="H7" s="4">
        <v>0</v>
      </c>
      <c r="I7" s="4">
        <v>180.07267912399999</v>
      </c>
      <c r="J7" s="4">
        <v>35.639512064000002</v>
      </c>
      <c r="K7" s="4">
        <v>0</v>
      </c>
      <c r="L7" s="4">
        <v>99.194184595999999</v>
      </c>
      <c r="M7" s="4">
        <v>11.724814400000001</v>
      </c>
      <c r="N7" s="4">
        <v>0</v>
      </c>
      <c r="O7" s="4">
        <v>0</v>
      </c>
      <c r="P7" s="4">
        <v>0</v>
      </c>
      <c r="Q7" s="4">
        <v>0</v>
      </c>
      <c r="R7" s="4">
        <v>23.522465333</v>
      </c>
      <c r="S7" s="4">
        <v>0</v>
      </c>
      <c r="T7" s="4">
        <v>22.140942302399999</v>
      </c>
      <c r="U7" s="4">
        <v>10.614438000000002</v>
      </c>
      <c r="V7" s="4">
        <v>15.6136005</v>
      </c>
      <c r="W7" s="4">
        <v>0</v>
      </c>
      <c r="X7" s="4">
        <v>0</v>
      </c>
      <c r="Y7" s="4">
        <v>0</v>
      </c>
      <c r="Z7" s="4">
        <v>22.915243826577182</v>
      </c>
      <c r="AA7" s="4">
        <v>2.1892868838657953</v>
      </c>
      <c r="AB7" s="4">
        <v>16.640170000000001</v>
      </c>
      <c r="AC7" s="4">
        <v>0</v>
      </c>
      <c r="AD7" s="4">
        <v>6.0695176000000002</v>
      </c>
      <c r="AE7" s="4">
        <v>26.021486849999999</v>
      </c>
      <c r="AF7" s="4">
        <v>13.915149999999997</v>
      </c>
      <c r="AG7" s="4">
        <v>0</v>
      </c>
      <c r="AH7" s="4">
        <v>10.141830370000001</v>
      </c>
      <c r="AI7" s="4">
        <v>0</v>
      </c>
      <c r="AJ7" s="4">
        <v>0</v>
      </c>
      <c r="AK7" s="4">
        <v>41.663089999999997</v>
      </c>
      <c r="AL7" s="4">
        <v>60.191478071183397</v>
      </c>
      <c r="AM7" s="4">
        <v>5.1348355887949788</v>
      </c>
      <c r="AN7" s="4">
        <v>0</v>
      </c>
      <c r="AO7" s="4">
        <v>0</v>
      </c>
      <c r="AP7" s="4">
        <v>0</v>
      </c>
      <c r="AQ7" s="4">
        <v>5.3208016000000002</v>
      </c>
      <c r="AR7" s="4">
        <v>18.538656200000002</v>
      </c>
      <c r="AS7" s="4">
        <v>0</v>
      </c>
      <c r="AT7" s="4">
        <v>4.7199024000000005</v>
      </c>
      <c r="AU7" s="4">
        <v>2.4757479212929943E-2</v>
      </c>
      <c r="AV7" s="4">
        <v>297.07779522407918</v>
      </c>
      <c r="AW7" s="4">
        <v>0.12011017291613757</v>
      </c>
      <c r="AX7" s="4">
        <v>0.93226639999999994</v>
      </c>
      <c r="AY7" s="4">
        <v>0.13555270771875172</v>
      </c>
      <c r="AZ7" s="4">
        <v>8.0818399999999999E-2</v>
      </c>
      <c r="BA7" s="4">
        <v>0</v>
      </c>
      <c r="BB7" s="4">
        <v>21.230338616375839</v>
      </c>
      <c r="BC7" s="4">
        <v>35.518910365948997</v>
      </c>
      <c r="BD7" s="4">
        <v>0</v>
      </c>
      <c r="BE7" s="4">
        <v>2.4350900000000002</v>
      </c>
      <c r="BF7" s="4">
        <v>13.920569050503355</v>
      </c>
      <c r="BG7" s="4">
        <v>34.617225571997338</v>
      </c>
      <c r="BH7" s="4">
        <v>0</v>
      </c>
      <c r="BI7" s="4">
        <v>0</v>
      </c>
      <c r="BJ7" s="4">
        <v>0</v>
      </c>
      <c r="BK7" s="4">
        <v>80.658479398082534</v>
      </c>
      <c r="BL7" s="4">
        <v>0</v>
      </c>
      <c r="BM7" s="4">
        <v>0</v>
      </c>
      <c r="BN7" s="4">
        <v>0</v>
      </c>
      <c r="BO7" s="4">
        <v>0</v>
      </c>
      <c r="BP7" s="4">
        <v>0</v>
      </c>
      <c r="BQ7" s="4">
        <v>0</v>
      </c>
      <c r="BR7" s="4">
        <v>10.605309690167784</v>
      </c>
      <c r="BS7" s="4">
        <v>2.5376954066778525</v>
      </c>
      <c r="BT7" s="4">
        <v>83.290248654067099</v>
      </c>
      <c r="BU7" s="4">
        <v>51.56211908192617</v>
      </c>
      <c r="BV7" s="4">
        <v>20.401580134812079</v>
      </c>
      <c r="BW7" s="4">
        <v>15.099235901161071</v>
      </c>
      <c r="BX7" s="4">
        <v>0</v>
      </c>
      <c r="BY7" s="4">
        <v>0</v>
      </c>
      <c r="BZ7" s="4">
        <v>0</v>
      </c>
      <c r="CA7" s="4">
        <v>0</v>
      </c>
      <c r="CB7" s="4">
        <v>0</v>
      </c>
      <c r="CC7" s="4">
        <v>0</v>
      </c>
      <c r="CD7" s="4">
        <v>0</v>
      </c>
      <c r="CE7" s="4">
        <v>0</v>
      </c>
      <c r="CF7" s="4">
        <v>6.8073764342454481</v>
      </c>
      <c r="CG7" s="4">
        <v>7.0471521893154359</v>
      </c>
      <c r="CH7" s="4">
        <v>0.85107532610738246</v>
      </c>
      <c r="CI7" s="4">
        <v>0.13045680181208053</v>
      </c>
      <c r="CJ7" s="4">
        <v>8.5509049656315419</v>
      </c>
      <c r="CK7" s="4">
        <v>6.0049472948389262</v>
      </c>
      <c r="CL7" s="4">
        <v>23.986373601405838</v>
      </c>
      <c r="CM7" s="4">
        <v>3.8442720453979859</v>
      </c>
      <c r="CN7" s="4">
        <v>16.520034717467784</v>
      </c>
      <c r="CO7" s="4">
        <v>3.3827138098439598</v>
      </c>
      <c r="CP7" s="4">
        <v>2.5602665041342281</v>
      </c>
      <c r="CQ7" s="4">
        <v>9.92395245098926</v>
      </c>
      <c r="CR7" s="4">
        <v>3.2173546366899326</v>
      </c>
      <c r="CS7" s="4">
        <v>1.550592980395302</v>
      </c>
      <c r="CT7" s="4">
        <v>9.0847631890469795</v>
      </c>
      <c r="CU7" s="4">
        <v>28.877027229681204</v>
      </c>
      <c r="CV7" s="4">
        <v>12.603079596774498</v>
      </c>
      <c r="CW7" s="4">
        <v>10.768919085583221</v>
      </c>
      <c r="CX7" s="4">
        <v>3.0274566522396156</v>
      </c>
      <c r="CY7" s="4">
        <v>3.2112393665552386</v>
      </c>
      <c r="CZ7" s="4">
        <v>1.5459039186998118</v>
      </c>
      <c r="DA7" s="4">
        <v>3.2220735320678182</v>
      </c>
      <c r="DB7" s="4">
        <v>24.454023962530201</v>
      </c>
      <c r="DC7" s="4">
        <v>10.217211058491275</v>
      </c>
      <c r="DD7" s="4">
        <v>5.6283619936080589</v>
      </c>
      <c r="DE7" s="4">
        <v>2.3308696072335566</v>
      </c>
      <c r="DF7" s="4">
        <v>4.5800484076181212</v>
      </c>
      <c r="DG7" s="4">
        <v>2.9421114922953016</v>
      </c>
      <c r="DH7" s="4">
        <v>1.7106655896197225</v>
      </c>
      <c r="DI7" s="4">
        <v>24.497563822267018</v>
      </c>
      <c r="DJ7" s="4">
        <v>2.2252542731540745</v>
      </c>
      <c r="DK7" s="4">
        <v>0</v>
      </c>
      <c r="DL7" s="4">
        <v>0</v>
      </c>
      <c r="DM7" s="4">
        <v>0</v>
      </c>
      <c r="DN7" s="4">
        <v>39.794174232523361</v>
      </c>
      <c r="DO7" s="4">
        <v>9.8955970784049221</v>
      </c>
      <c r="DP7" s="4">
        <v>3.9926759758022143</v>
      </c>
      <c r="DQ7" s="4">
        <v>13.701898601751678</v>
      </c>
      <c r="DR7" s="4">
        <v>38.223118170929531</v>
      </c>
      <c r="DS7" s="4">
        <v>0</v>
      </c>
      <c r="DT7" s="4">
        <v>0</v>
      </c>
      <c r="DU7" s="4">
        <v>24.614480124585555</v>
      </c>
      <c r="DV7" s="4">
        <v>153.82136317830739</v>
      </c>
      <c r="DW7" s="4">
        <v>45.101592912264351</v>
      </c>
      <c r="DX7" s="4">
        <v>0</v>
      </c>
      <c r="DY7" s="4">
        <v>27.99418240114197</v>
      </c>
      <c r="DZ7" s="4">
        <v>0</v>
      </c>
      <c r="EA7" s="4">
        <v>0</v>
      </c>
      <c r="EB7" s="4">
        <v>0</v>
      </c>
      <c r="EC7" s="4">
        <v>0</v>
      </c>
      <c r="ED7" s="4">
        <v>0</v>
      </c>
      <c r="EE7" s="4">
        <v>0</v>
      </c>
      <c r="EF7" s="4">
        <v>0</v>
      </c>
      <c r="EG7" s="4">
        <v>0</v>
      </c>
      <c r="EH7" s="4">
        <v>16.69768046182153</v>
      </c>
      <c r="EI7" s="4">
        <v>23.359267700064958</v>
      </c>
      <c r="EJ7" s="4">
        <v>630.62181022854395</v>
      </c>
      <c r="EK7" s="4">
        <v>2540.6009961342074</v>
      </c>
      <c r="EL7" s="4">
        <v>0</v>
      </c>
      <c r="EM7" s="4">
        <v>0</v>
      </c>
      <c r="EN7" s="4">
        <v>0</v>
      </c>
      <c r="EO7" s="4">
        <v>0</v>
      </c>
      <c r="EP7" s="4">
        <v>0</v>
      </c>
      <c r="EQ7" s="4">
        <v>0</v>
      </c>
      <c r="ER7" s="4">
        <v>179.90159353664566</v>
      </c>
      <c r="ES7" s="4">
        <v>0</v>
      </c>
      <c r="ET7" s="4">
        <v>0</v>
      </c>
      <c r="EU7" s="4">
        <v>305.21991239289952</v>
      </c>
      <c r="EV7" s="4">
        <v>0</v>
      </c>
      <c r="EW7" s="4">
        <v>39.139610855624689</v>
      </c>
      <c r="EX7" s="4">
        <v>328.69374522628544</v>
      </c>
      <c r="EY7" s="4">
        <v>60.332163096150389</v>
      </c>
      <c r="EZ7" s="4">
        <v>52.229947618794519</v>
      </c>
    </row>
    <row r="8" spans="2:156" x14ac:dyDescent="0.35">
      <c r="B8" s="11">
        <v>3</v>
      </c>
      <c r="C8" s="11">
        <v>1</v>
      </c>
      <c r="D8" s="12" t="s">
        <v>172</v>
      </c>
      <c r="E8" s="3" t="s">
        <v>173</v>
      </c>
      <c r="F8" s="6">
        <v>191705.13855248925</v>
      </c>
      <c r="G8" s="4">
        <v>0.28440292697103015</v>
      </c>
      <c r="H8" s="4">
        <v>2347.6935404104111</v>
      </c>
      <c r="I8" s="4">
        <v>6355.2732850057</v>
      </c>
      <c r="J8" s="4">
        <v>1274.7047150687231</v>
      </c>
      <c r="K8" s="4">
        <v>2.4841353309982646</v>
      </c>
      <c r="L8" s="4">
        <v>2088.7676673984997</v>
      </c>
      <c r="M8" s="4">
        <v>274.06541106306258</v>
      </c>
      <c r="N8" s="4">
        <v>0</v>
      </c>
      <c r="O8" s="4">
        <v>27.413033830408317</v>
      </c>
      <c r="P8" s="4">
        <v>0</v>
      </c>
      <c r="Q8" s="4">
        <v>-29.895176044088117</v>
      </c>
      <c r="R8" s="4">
        <v>8638.02270899818</v>
      </c>
      <c r="S8" s="4">
        <v>0</v>
      </c>
      <c r="T8" s="4">
        <v>11197.195712293504</v>
      </c>
      <c r="U8" s="4">
        <v>1160.5587582954515</v>
      </c>
      <c r="V8" s="4">
        <v>1369.2688428047502</v>
      </c>
      <c r="W8" s="4">
        <v>0.35192973311624826</v>
      </c>
      <c r="X8" s="4">
        <v>35.882688181247133</v>
      </c>
      <c r="Y8" s="4">
        <v>4.831987029841132</v>
      </c>
      <c r="Z8" s="4">
        <v>2913.8310907519967</v>
      </c>
      <c r="AA8" s="4">
        <v>375.07682900408798</v>
      </c>
      <c r="AB8" s="4">
        <v>957.31463325151208</v>
      </c>
      <c r="AC8" s="4">
        <v>1.9894212101149633</v>
      </c>
      <c r="AD8" s="4">
        <v>907.35720677596987</v>
      </c>
      <c r="AE8" s="4">
        <v>4422.9593777379869</v>
      </c>
      <c r="AF8" s="4">
        <v>355.40067801389318</v>
      </c>
      <c r="AG8" s="4">
        <v>200.49616593508793</v>
      </c>
      <c r="AH8" s="4">
        <v>2483.7004929587301</v>
      </c>
      <c r="AI8" s="4">
        <v>8.6253776486933447</v>
      </c>
      <c r="AJ8" s="4">
        <v>1.0639153960087506</v>
      </c>
      <c r="AK8" s="4">
        <v>5366.5058696868027</v>
      </c>
      <c r="AL8" s="4">
        <v>11287.130349476267</v>
      </c>
      <c r="AM8" s="4">
        <v>1066.3252292754337</v>
      </c>
      <c r="AN8" s="4">
        <v>372.11704055898446</v>
      </c>
      <c r="AO8" s="4">
        <v>1.324596842016909</v>
      </c>
      <c r="AP8" s="4">
        <v>6.4808005693261936</v>
      </c>
      <c r="AQ8" s="4">
        <v>99.128433500525361</v>
      </c>
      <c r="AR8" s="4">
        <v>312.86767435984956</v>
      </c>
      <c r="AS8" s="4">
        <v>398.53358630971644</v>
      </c>
      <c r="AT8" s="4">
        <v>883.8132005186626</v>
      </c>
      <c r="AU8" s="4">
        <v>75.088291791777777</v>
      </c>
      <c r="AV8" s="4">
        <v>3814.5690031257836</v>
      </c>
      <c r="AW8" s="4">
        <v>116.6840579413068</v>
      </c>
      <c r="AX8" s="4">
        <v>3604.7614903897393</v>
      </c>
      <c r="AY8" s="4">
        <v>173.69019975240047</v>
      </c>
      <c r="AZ8" s="4">
        <v>567.7288635536213</v>
      </c>
      <c r="BA8" s="4">
        <v>-535.57760082730977</v>
      </c>
      <c r="BB8" s="4">
        <v>1000.4855243015967</v>
      </c>
      <c r="BC8" s="4">
        <v>1856.5760206905486</v>
      </c>
      <c r="BD8" s="4">
        <v>0</v>
      </c>
      <c r="BE8" s="4">
        <v>5.3587512740591201</v>
      </c>
      <c r="BF8" s="4">
        <v>1962.9919702813067</v>
      </c>
      <c r="BG8" s="4">
        <v>3077.2796495350663</v>
      </c>
      <c r="BH8" s="4">
        <v>-14.74107458496141</v>
      </c>
      <c r="BI8" s="4">
        <v>24.161759185321745</v>
      </c>
      <c r="BJ8" s="4">
        <v>137.5641620789946</v>
      </c>
      <c r="BK8" s="4">
        <v>4909.0995078169235</v>
      </c>
      <c r="BL8" s="4">
        <v>8.5334820055021972</v>
      </c>
      <c r="BM8" s="4">
        <v>3.0258951394358977</v>
      </c>
      <c r="BN8" s="4">
        <v>-2.997760509372208E-2</v>
      </c>
      <c r="BO8" s="4">
        <v>6.2305259623436342</v>
      </c>
      <c r="BP8" s="4">
        <v>0</v>
      </c>
      <c r="BQ8" s="4">
        <v>1277.0090432827765</v>
      </c>
      <c r="BR8" s="4">
        <v>1560.4898988787106</v>
      </c>
      <c r="BS8" s="4">
        <v>493.61442289454271</v>
      </c>
      <c r="BT8" s="4">
        <v>1516.0998402537828</v>
      </c>
      <c r="BU8" s="4">
        <v>2008.4581039347788</v>
      </c>
      <c r="BV8" s="4">
        <v>1306.1834136625491</v>
      </c>
      <c r="BW8" s="4">
        <v>1335.3758334219483</v>
      </c>
      <c r="BX8" s="4">
        <v>1.7700868691585495E-2</v>
      </c>
      <c r="BY8" s="4">
        <v>3.1054155599272801E-3</v>
      </c>
      <c r="BZ8" s="4">
        <v>0</v>
      </c>
      <c r="CA8" s="4">
        <v>3002.3639485789013</v>
      </c>
      <c r="CB8" s="4">
        <v>200.73727899525235</v>
      </c>
      <c r="CC8" s="4">
        <v>0</v>
      </c>
      <c r="CD8" s="4">
        <v>-76.491100572534378</v>
      </c>
      <c r="CE8" s="4">
        <v>0</v>
      </c>
      <c r="CF8" s="4">
        <v>1162.3393314725679</v>
      </c>
      <c r="CG8" s="4">
        <v>146.05216378550628</v>
      </c>
      <c r="CH8" s="4">
        <v>7.0920979030156595</v>
      </c>
      <c r="CI8" s="4">
        <v>30.604293676444534</v>
      </c>
      <c r="CJ8" s="4">
        <v>395.32676011110323</v>
      </c>
      <c r="CK8" s="4">
        <v>352.27362348713854</v>
      </c>
      <c r="CL8" s="4">
        <v>1410.0582687976218</v>
      </c>
      <c r="CM8" s="4">
        <v>369.73728523972318</v>
      </c>
      <c r="CN8" s="4">
        <v>299.12465473891393</v>
      </c>
      <c r="CO8" s="4">
        <v>216.66679797011102</v>
      </c>
      <c r="CP8" s="4">
        <v>95.192016101304304</v>
      </c>
      <c r="CQ8" s="4">
        <v>186.93248938094044</v>
      </c>
      <c r="CR8" s="4">
        <v>610.06653747177188</v>
      </c>
      <c r="CS8" s="4">
        <v>520.16578900387435</v>
      </c>
      <c r="CT8" s="4">
        <v>478.69722266241553</v>
      </c>
      <c r="CU8" s="4">
        <v>1381.1428949140397</v>
      </c>
      <c r="CV8" s="4">
        <v>-17.240455984121613</v>
      </c>
      <c r="CW8" s="4">
        <v>227.03047368509809</v>
      </c>
      <c r="CX8" s="4">
        <v>334.31768208249753</v>
      </c>
      <c r="CY8" s="4">
        <v>188.52343377736958</v>
      </c>
      <c r="CZ8" s="4">
        <v>404.86951514904126</v>
      </c>
      <c r="DA8" s="4">
        <v>66.658306659380699</v>
      </c>
      <c r="DB8" s="4">
        <v>1835.9913604174021</v>
      </c>
      <c r="DC8" s="4">
        <v>151.68431049473404</v>
      </c>
      <c r="DD8" s="4">
        <v>130.21463341960992</v>
      </c>
      <c r="DE8" s="4">
        <v>98.90159889029519</v>
      </c>
      <c r="DF8" s="4">
        <v>291.90007820244659</v>
      </c>
      <c r="DG8" s="4">
        <v>123.98851387087211</v>
      </c>
      <c r="DH8" s="4">
        <v>73.864439991131007</v>
      </c>
      <c r="DI8" s="4">
        <v>780.30582447605104</v>
      </c>
      <c r="DJ8" s="4">
        <v>121.48040306231282</v>
      </c>
      <c r="DK8" s="4">
        <v>1.1331259274523158</v>
      </c>
      <c r="DL8" s="4">
        <v>3.1054155599272801E-3</v>
      </c>
      <c r="DM8" s="4">
        <v>0</v>
      </c>
      <c r="DN8" s="4">
        <v>760.28644894535591</v>
      </c>
      <c r="DO8" s="4">
        <v>100.78218385538354</v>
      </c>
      <c r="DP8" s="4">
        <v>61.420879279224877</v>
      </c>
      <c r="DQ8" s="4">
        <v>501.72646425156285</v>
      </c>
      <c r="DR8" s="4">
        <v>228.45163555172118</v>
      </c>
      <c r="DS8" s="4">
        <v>-0.70499170701391611</v>
      </c>
      <c r="DT8" s="4">
        <v>4.9376107402843754E-2</v>
      </c>
      <c r="DU8" s="4">
        <v>536.70931998831077</v>
      </c>
      <c r="DV8" s="4">
        <v>1268.1005639781129</v>
      </c>
      <c r="DW8" s="4">
        <v>433.10277211816475</v>
      </c>
      <c r="DX8" s="4">
        <v>1433.8964567089333</v>
      </c>
      <c r="DY8" s="4">
        <v>944.72252161122594</v>
      </c>
      <c r="DZ8" s="4">
        <v>7.7819131898031886</v>
      </c>
      <c r="EA8" s="4">
        <v>1.6707878214653631</v>
      </c>
      <c r="EB8" s="4">
        <v>7.7549155434497932</v>
      </c>
      <c r="EC8" s="4">
        <v>2.2586382015783246</v>
      </c>
      <c r="ED8" s="4">
        <v>17.854960264879946</v>
      </c>
      <c r="EE8" s="4">
        <v>75.23649547458291</v>
      </c>
      <c r="EF8" s="4">
        <v>2.9117146647968055</v>
      </c>
      <c r="EG8" s="4">
        <v>1.2692942623322254</v>
      </c>
      <c r="EH8" s="4">
        <v>890.65558658276689</v>
      </c>
      <c r="EI8" s="4">
        <v>2062.4464361583491</v>
      </c>
      <c r="EJ8" s="4">
        <v>10776.684568675872</v>
      </c>
      <c r="EK8" s="4">
        <v>12645.696145877697</v>
      </c>
      <c r="EL8" s="4">
        <v>749.95395365390334</v>
      </c>
      <c r="EM8" s="4">
        <v>167.56362155967361</v>
      </c>
      <c r="EN8" s="4">
        <v>3.1484654451322953</v>
      </c>
      <c r="EO8" s="4">
        <v>-3.2396455005712994</v>
      </c>
      <c r="EP8" s="4">
        <v>9.1180055439004232E-2</v>
      </c>
      <c r="EQ8" s="4">
        <v>0</v>
      </c>
      <c r="ER8" s="4">
        <v>19553.826158714677</v>
      </c>
      <c r="ES8" s="4">
        <v>162.03118970375203</v>
      </c>
      <c r="ET8" s="4">
        <v>181.03191677453805</v>
      </c>
      <c r="EU8" s="4">
        <v>12582.759504062713</v>
      </c>
      <c r="EV8" s="4">
        <v>0</v>
      </c>
      <c r="EW8" s="4">
        <v>1175.6266269639036</v>
      </c>
      <c r="EX8" s="4">
        <v>11886.758875670201</v>
      </c>
      <c r="EY8" s="4">
        <v>280.04511608535313</v>
      </c>
      <c r="EZ8" s="4">
        <v>1197.4946438824629</v>
      </c>
    </row>
    <row r="9" spans="2:156" x14ac:dyDescent="0.35">
      <c r="B9" s="11">
        <v>3</v>
      </c>
      <c r="C9" s="11">
        <v>2</v>
      </c>
      <c r="D9" s="12" t="s">
        <v>172</v>
      </c>
      <c r="E9" s="3" t="s">
        <v>174</v>
      </c>
      <c r="F9" s="6">
        <v>8445.8015955042338</v>
      </c>
      <c r="G9" s="4">
        <v>0</v>
      </c>
      <c r="H9" s="4">
        <v>25.854384848252675</v>
      </c>
      <c r="I9" s="4">
        <v>442.0911727277645</v>
      </c>
      <c r="J9" s="4">
        <v>33.21061434557744</v>
      </c>
      <c r="K9" s="4">
        <v>0</v>
      </c>
      <c r="L9" s="4">
        <v>54.731233939207982</v>
      </c>
      <c r="M9" s="4">
        <v>6.1377915443805406</v>
      </c>
      <c r="N9" s="4">
        <v>0</v>
      </c>
      <c r="O9" s="4">
        <v>0</v>
      </c>
      <c r="P9" s="4">
        <v>0</v>
      </c>
      <c r="Q9" s="4">
        <v>5.7587260682752248</v>
      </c>
      <c r="R9" s="4">
        <v>145.60681098626145</v>
      </c>
      <c r="S9" s="4">
        <v>0</v>
      </c>
      <c r="T9" s="4">
        <v>2199.7452107837075</v>
      </c>
      <c r="U9" s="4">
        <v>26.782738904642081</v>
      </c>
      <c r="V9" s="4">
        <v>1.6885181820110922</v>
      </c>
      <c r="W9" s="4">
        <v>0</v>
      </c>
      <c r="X9" s="4">
        <v>0</v>
      </c>
      <c r="Y9" s="4">
        <v>0</v>
      </c>
      <c r="Z9" s="4">
        <v>24.954876856011765</v>
      </c>
      <c r="AA9" s="4">
        <v>3.3081761410029711</v>
      </c>
      <c r="AB9" s="4">
        <v>75.648315834917582</v>
      </c>
      <c r="AC9" s="4">
        <v>0</v>
      </c>
      <c r="AD9" s="4">
        <v>49.828940966844918</v>
      </c>
      <c r="AE9" s="4">
        <v>36.675184468130844</v>
      </c>
      <c r="AF9" s="4">
        <v>15.566319263969765</v>
      </c>
      <c r="AG9" s="4">
        <v>0</v>
      </c>
      <c r="AH9" s="4">
        <v>5.3149192173871</v>
      </c>
      <c r="AI9" s="4">
        <v>0</v>
      </c>
      <c r="AJ9" s="4">
        <v>0</v>
      </c>
      <c r="AK9" s="4">
        <v>18.962887832247887</v>
      </c>
      <c r="AL9" s="4">
        <v>39.756367976610363</v>
      </c>
      <c r="AM9" s="4">
        <v>2.0167027163901832</v>
      </c>
      <c r="AN9" s="4">
        <v>0</v>
      </c>
      <c r="AO9" s="4">
        <v>0</v>
      </c>
      <c r="AP9" s="4">
        <v>0</v>
      </c>
      <c r="AQ9" s="4">
        <v>0</v>
      </c>
      <c r="AR9" s="4">
        <v>1.1259146181711503</v>
      </c>
      <c r="AS9" s="4">
        <v>0</v>
      </c>
      <c r="AT9" s="4">
        <v>102.74982847626683</v>
      </c>
      <c r="AU9" s="4">
        <v>0</v>
      </c>
      <c r="AV9" s="4">
        <v>277.14609084928861</v>
      </c>
      <c r="AW9" s="4">
        <v>9.9652898212807912</v>
      </c>
      <c r="AX9" s="4">
        <v>18.619614217699414</v>
      </c>
      <c r="AY9" s="4">
        <v>0</v>
      </c>
      <c r="AZ9" s="4">
        <v>0</v>
      </c>
      <c r="BA9" s="4">
        <v>0</v>
      </c>
      <c r="BB9" s="4">
        <v>88.437970535418685</v>
      </c>
      <c r="BC9" s="4">
        <v>55.256580967410848</v>
      </c>
      <c r="BD9" s="4">
        <v>0</v>
      </c>
      <c r="BE9" s="4">
        <v>0</v>
      </c>
      <c r="BF9" s="4">
        <v>7.2350018910882099</v>
      </c>
      <c r="BG9" s="4">
        <v>14.658352974993665</v>
      </c>
      <c r="BH9" s="4">
        <v>0</v>
      </c>
      <c r="BI9" s="4">
        <v>0</v>
      </c>
      <c r="BJ9" s="4">
        <v>0</v>
      </c>
      <c r="BK9" s="4">
        <v>81.372718686391153</v>
      </c>
      <c r="BL9" s="4">
        <v>0</v>
      </c>
      <c r="BM9" s="4">
        <v>0</v>
      </c>
      <c r="BN9" s="4">
        <v>0</v>
      </c>
      <c r="BO9" s="4">
        <v>0</v>
      </c>
      <c r="BP9" s="4">
        <v>0</v>
      </c>
      <c r="BQ9" s="4">
        <v>0</v>
      </c>
      <c r="BR9" s="4">
        <v>0</v>
      </c>
      <c r="BS9" s="4">
        <v>0</v>
      </c>
      <c r="BT9" s="4">
        <v>1079.4689021405543</v>
      </c>
      <c r="BU9" s="4">
        <v>10.396794309421196</v>
      </c>
      <c r="BV9" s="4">
        <v>6.7759415235477896</v>
      </c>
      <c r="BW9" s="4">
        <v>69.217395766749618</v>
      </c>
      <c r="BX9" s="4">
        <v>0</v>
      </c>
      <c r="BY9" s="4">
        <v>0</v>
      </c>
      <c r="BZ9" s="4">
        <v>0</v>
      </c>
      <c r="CA9" s="4">
        <v>0</v>
      </c>
      <c r="CB9" s="4">
        <v>0</v>
      </c>
      <c r="CC9" s="4">
        <v>0</v>
      </c>
      <c r="CD9" s="4">
        <v>0</v>
      </c>
      <c r="CE9" s="4">
        <v>0</v>
      </c>
      <c r="CF9" s="4">
        <v>0.89993021955647834</v>
      </c>
      <c r="CG9" s="4">
        <v>-75.240144529110594</v>
      </c>
      <c r="CH9" s="4">
        <v>0</v>
      </c>
      <c r="CI9" s="4">
        <v>5.6675829405033138</v>
      </c>
      <c r="CJ9" s="4">
        <v>118.67112256746123</v>
      </c>
      <c r="CK9" s="4">
        <v>160.74214627905874</v>
      </c>
      <c r="CL9" s="4">
        <v>550.0172930187307</v>
      </c>
      <c r="CM9" s="4">
        <v>33.663428267112792</v>
      </c>
      <c r="CN9" s="4">
        <v>17.742342940153005</v>
      </c>
      <c r="CO9" s="4">
        <v>30.15271723188204</v>
      </c>
      <c r="CP9" s="4">
        <v>0.80629114889707498</v>
      </c>
      <c r="CQ9" s="4">
        <v>-56.326719256911865</v>
      </c>
      <c r="CR9" s="4">
        <v>23.696506690538421</v>
      </c>
      <c r="CS9" s="4">
        <v>2.557117378692416</v>
      </c>
      <c r="CT9" s="4">
        <v>19.752977116419565</v>
      </c>
      <c r="CU9" s="4">
        <v>264.81896159930881</v>
      </c>
      <c r="CV9" s="4">
        <v>10.236896734958426</v>
      </c>
      <c r="CW9" s="4">
        <v>19.685593986323166</v>
      </c>
      <c r="CX9" s="4">
        <v>8.2641549392824221</v>
      </c>
      <c r="CY9" s="4">
        <v>13.018686150548177</v>
      </c>
      <c r="CZ9" s="4">
        <v>0</v>
      </c>
      <c r="DA9" s="4">
        <v>0</v>
      </c>
      <c r="DB9" s="4">
        <v>400.69396512952585</v>
      </c>
      <c r="DC9" s="4">
        <v>0</v>
      </c>
      <c r="DD9" s="4">
        <v>113.14116305497066</v>
      </c>
      <c r="DE9" s="4">
        <v>0</v>
      </c>
      <c r="DF9" s="4">
        <v>0.21769303261760839</v>
      </c>
      <c r="DG9" s="4">
        <v>0.38061039017720277</v>
      </c>
      <c r="DH9" s="4">
        <v>0</v>
      </c>
      <c r="DI9" s="4">
        <v>136.71715203728567</v>
      </c>
      <c r="DJ9" s="4">
        <v>45.920070995369088</v>
      </c>
      <c r="DK9" s="4">
        <v>0</v>
      </c>
      <c r="DL9" s="4">
        <v>0</v>
      </c>
      <c r="DM9" s="4">
        <v>0</v>
      </c>
      <c r="DN9" s="4">
        <v>0</v>
      </c>
      <c r="DO9" s="4">
        <v>1.245106032442939</v>
      </c>
      <c r="DP9" s="4">
        <v>0</v>
      </c>
      <c r="DQ9" s="4">
        <v>0</v>
      </c>
      <c r="DR9" s="4">
        <v>4.1975027610799378</v>
      </c>
      <c r="DS9" s="4">
        <v>0</v>
      </c>
      <c r="DT9" s="4">
        <v>0</v>
      </c>
      <c r="DU9" s="4">
        <v>0</v>
      </c>
      <c r="DV9" s="4">
        <v>117.03893215278612</v>
      </c>
      <c r="DW9" s="4">
        <v>13.908334993038999</v>
      </c>
      <c r="DX9" s="4">
        <v>20.023220568761396</v>
      </c>
      <c r="DY9" s="4">
        <v>0</v>
      </c>
      <c r="DZ9" s="4">
        <v>0</v>
      </c>
      <c r="EA9" s="4">
        <v>0</v>
      </c>
      <c r="EB9" s="4">
        <v>0</v>
      </c>
      <c r="EC9" s="4">
        <v>0</v>
      </c>
      <c r="ED9" s="4">
        <v>0</v>
      </c>
      <c r="EE9" s="4">
        <v>0</v>
      </c>
      <c r="EF9" s="4">
        <v>0</v>
      </c>
      <c r="EG9" s="4">
        <v>0</v>
      </c>
      <c r="EH9" s="4">
        <v>1.3780418274669437</v>
      </c>
      <c r="EI9" s="4">
        <v>18.018118312345194</v>
      </c>
      <c r="EJ9" s="4">
        <v>0</v>
      </c>
      <c r="EK9" s="4">
        <v>269.22921627588568</v>
      </c>
      <c r="EL9" s="4">
        <v>0</v>
      </c>
      <c r="EM9" s="4">
        <v>0</v>
      </c>
      <c r="EN9" s="4">
        <v>0</v>
      </c>
      <c r="EO9" s="4">
        <v>0</v>
      </c>
      <c r="EP9" s="4">
        <v>0</v>
      </c>
      <c r="EQ9" s="4">
        <v>0</v>
      </c>
      <c r="ER9" s="4">
        <v>35.418890876334693</v>
      </c>
      <c r="ES9" s="4">
        <v>0</v>
      </c>
      <c r="ET9" s="4">
        <v>0</v>
      </c>
      <c r="EU9" s="4">
        <v>665.02162907985985</v>
      </c>
      <c r="EV9" s="4">
        <v>0</v>
      </c>
      <c r="EW9" s="4">
        <v>2.6598808349780159</v>
      </c>
      <c r="EX9" s="4">
        <v>378.40074929150524</v>
      </c>
      <c r="EY9" s="4">
        <v>0</v>
      </c>
      <c r="EZ9" s="4">
        <v>37.298142052522266</v>
      </c>
    </row>
    <row r="10" spans="2:156" ht="29" x14ac:dyDescent="0.35">
      <c r="B10" s="11">
        <v>3</v>
      </c>
      <c r="C10" s="11">
        <v>3</v>
      </c>
      <c r="D10" s="12" t="s">
        <v>172</v>
      </c>
      <c r="E10" s="3" t="s">
        <v>175</v>
      </c>
      <c r="F10" s="6">
        <v>2299.2305245544994</v>
      </c>
      <c r="G10" s="4">
        <v>0</v>
      </c>
      <c r="H10" s="4">
        <v>0</v>
      </c>
      <c r="I10" s="4">
        <v>39.912334383220063</v>
      </c>
      <c r="J10" s="4">
        <v>16.778071686228849</v>
      </c>
      <c r="K10" s="4">
        <v>0</v>
      </c>
      <c r="L10" s="4">
        <v>85.730094317984239</v>
      </c>
      <c r="M10" s="4">
        <v>4.859773077431691</v>
      </c>
      <c r="N10" s="4">
        <v>0</v>
      </c>
      <c r="O10" s="4">
        <v>0</v>
      </c>
      <c r="P10" s="4">
        <v>0</v>
      </c>
      <c r="Q10" s="4">
        <v>0</v>
      </c>
      <c r="R10" s="4">
        <v>16.979273586514971</v>
      </c>
      <c r="S10" s="4">
        <v>0</v>
      </c>
      <c r="T10" s="4">
        <v>10.139129473219644</v>
      </c>
      <c r="U10" s="4">
        <v>3.2830679087208336</v>
      </c>
      <c r="V10" s="4">
        <v>4.3791413455566737</v>
      </c>
      <c r="W10" s="4">
        <v>0</v>
      </c>
      <c r="X10" s="4">
        <v>0</v>
      </c>
      <c r="Y10" s="4">
        <v>0</v>
      </c>
      <c r="Z10" s="4">
        <v>27.126483522475311</v>
      </c>
      <c r="AA10" s="4">
        <v>1.3105130885154339</v>
      </c>
      <c r="AB10" s="4">
        <v>26.171358072558146</v>
      </c>
      <c r="AC10" s="4">
        <v>0</v>
      </c>
      <c r="AD10" s="4">
        <v>13.5946330219566</v>
      </c>
      <c r="AE10" s="4">
        <v>25.98546398992708</v>
      </c>
      <c r="AF10" s="4">
        <v>12.436453201504328</v>
      </c>
      <c r="AG10" s="4">
        <v>0</v>
      </c>
      <c r="AH10" s="4">
        <v>7.8861300226710043</v>
      </c>
      <c r="AI10" s="4">
        <v>0</v>
      </c>
      <c r="AJ10" s="4">
        <v>0</v>
      </c>
      <c r="AK10" s="4">
        <v>43.691302840251289</v>
      </c>
      <c r="AL10" s="4">
        <v>63.800068097309499</v>
      </c>
      <c r="AM10" s="4">
        <v>4.1864446150278942</v>
      </c>
      <c r="AN10" s="4">
        <v>0</v>
      </c>
      <c r="AO10" s="4">
        <v>0</v>
      </c>
      <c r="AP10" s="4">
        <v>0</v>
      </c>
      <c r="AQ10" s="4">
        <v>4.9861930824635055</v>
      </c>
      <c r="AR10" s="4">
        <v>4.5227310824692353</v>
      </c>
      <c r="AS10" s="4">
        <v>0</v>
      </c>
      <c r="AT10" s="4">
        <v>3.0983877889267775</v>
      </c>
      <c r="AU10" s="4">
        <v>4.4704008701765083E-3</v>
      </c>
      <c r="AV10" s="4">
        <v>111.72377873805354</v>
      </c>
      <c r="AW10" s="4">
        <v>1.2842929901951661</v>
      </c>
      <c r="AX10" s="4">
        <v>22.545873377434376</v>
      </c>
      <c r="AY10" s="4">
        <v>0.15736674491874381</v>
      </c>
      <c r="AZ10" s="4">
        <v>4.1316492354122829</v>
      </c>
      <c r="BA10" s="4">
        <v>0</v>
      </c>
      <c r="BB10" s="4">
        <v>12.267130054445525</v>
      </c>
      <c r="BC10" s="4">
        <v>19.215590711660262</v>
      </c>
      <c r="BD10" s="4">
        <v>0</v>
      </c>
      <c r="BE10" s="4">
        <v>0.75833475519900162</v>
      </c>
      <c r="BF10" s="4">
        <v>5.9084975547988314</v>
      </c>
      <c r="BG10" s="4">
        <v>16.966201469961522</v>
      </c>
      <c r="BH10" s="4">
        <v>0</v>
      </c>
      <c r="BI10" s="4">
        <v>0</v>
      </c>
      <c r="BJ10" s="4">
        <v>0</v>
      </c>
      <c r="BK10" s="4">
        <v>33.908248113494601</v>
      </c>
      <c r="BL10" s="4">
        <v>0</v>
      </c>
      <c r="BM10" s="4">
        <v>0</v>
      </c>
      <c r="BN10" s="4">
        <v>0</v>
      </c>
      <c r="BO10" s="4">
        <v>0</v>
      </c>
      <c r="BP10" s="4">
        <v>0</v>
      </c>
      <c r="BQ10" s="4">
        <v>0</v>
      </c>
      <c r="BR10" s="4">
        <v>7.4033708890091052</v>
      </c>
      <c r="BS10" s="4">
        <v>4.204740711298693</v>
      </c>
      <c r="BT10" s="4">
        <v>30.601326116783262</v>
      </c>
      <c r="BU10" s="4">
        <v>18.664872426471153</v>
      </c>
      <c r="BV10" s="4">
        <v>16.236018130980217</v>
      </c>
      <c r="BW10" s="4">
        <v>5.0963466958284318</v>
      </c>
      <c r="BX10" s="4">
        <v>0</v>
      </c>
      <c r="BY10" s="4">
        <v>0</v>
      </c>
      <c r="BZ10" s="4">
        <v>0</v>
      </c>
      <c r="CA10" s="4">
        <v>0</v>
      </c>
      <c r="CB10" s="4">
        <v>0</v>
      </c>
      <c r="CC10" s="4">
        <v>0</v>
      </c>
      <c r="CD10" s="4">
        <v>0</v>
      </c>
      <c r="CE10" s="4">
        <v>0</v>
      </c>
      <c r="CF10" s="4">
        <v>7.3786531201647794</v>
      </c>
      <c r="CG10" s="4">
        <v>23.303187313956329</v>
      </c>
      <c r="CH10" s="4">
        <v>2.6763070085789988</v>
      </c>
      <c r="CI10" s="4">
        <v>3.4012701941617447</v>
      </c>
      <c r="CJ10" s="4">
        <v>32.130039278970891</v>
      </c>
      <c r="CK10" s="4">
        <v>13.695067777708617</v>
      </c>
      <c r="CL10" s="4">
        <v>21.655134748569864</v>
      </c>
      <c r="CM10" s="4">
        <v>2.0356696413373574</v>
      </c>
      <c r="CN10" s="4">
        <v>12.822831862310933</v>
      </c>
      <c r="CO10" s="4">
        <v>6.8030752378487556</v>
      </c>
      <c r="CP10" s="4">
        <v>1.7005285585330272</v>
      </c>
      <c r="CQ10" s="4">
        <v>4.4510840189014811</v>
      </c>
      <c r="CR10" s="4">
        <v>1.4722153331378638</v>
      </c>
      <c r="CS10" s="4">
        <v>2.3512175023516795</v>
      </c>
      <c r="CT10" s="4">
        <v>21.505218555701664</v>
      </c>
      <c r="CU10" s="4">
        <v>17.983734325172467</v>
      </c>
      <c r="CV10" s="4">
        <v>6.2519785575263196</v>
      </c>
      <c r="CW10" s="4">
        <v>6.7567551106427475</v>
      </c>
      <c r="CX10" s="4">
        <v>1.1394145670701932</v>
      </c>
      <c r="CY10" s="4">
        <v>2.1261978678636226</v>
      </c>
      <c r="CZ10" s="4">
        <v>5.8904743929419467</v>
      </c>
      <c r="DA10" s="4">
        <v>2.3475976211251823</v>
      </c>
      <c r="DB10" s="4">
        <v>72.728267232121382</v>
      </c>
      <c r="DC10" s="4">
        <v>6.6001011160996752</v>
      </c>
      <c r="DD10" s="4">
        <v>3.1207443590950441</v>
      </c>
      <c r="DE10" s="4">
        <v>3.5751115108435343</v>
      </c>
      <c r="DF10" s="4">
        <v>5.0779082327684186</v>
      </c>
      <c r="DG10" s="4">
        <v>1.528763259000101</v>
      </c>
      <c r="DH10" s="4">
        <v>1.5844143900036465</v>
      </c>
      <c r="DI10" s="4">
        <v>8.4537921777021179</v>
      </c>
      <c r="DJ10" s="4">
        <v>3.7422263412792587</v>
      </c>
      <c r="DK10" s="4">
        <v>0</v>
      </c>
      <c r="DL10" s="4">
        <v>0</v>
      </c>
      <c r="DM10" s="4">
        <v>0</v>
      </c>
      <c r="DN10" s="4">
        <v>18.185844040963886</v>
      </c>
      <c r="DO10" s="4">
        <v>3.8240545478778603</v>
      </c>
      <c r="DP10" s="4">
        <v>2.7851174952664</v>
      </c>
      <c r="DQ10" s="4">
        <v>6.4257876932515252</v>
      </c>
      <c r="DR10" s="4">
        <v>16.561551146767968</v>
      </c>
      <c r="DS10" s="4">
        <v>0</v>
      </c>
      <c r="DT10" s="4">
        <v>0</v>
      </c>
      <c r="DU10" s="4">
        <v>11.381706546793101</v>
      </c>
      <c r="DV10" s="4">
        <v>45.867367077792572</v>
      </c>
      <c r="DW10" s="4">
        <v>13.596557918782816</v>
      </c>
      <c r="DX10" s="4">
        <v>0</v>
      </c>
      <c r="DY10" s="4">
        <v>11.069942864594941</v>
      </c>
      <c r="DZ10" s="4">
        <v>0</v>
      </c>
      <c r="EA10" s="4">
        <v>0</v>
      </c>
      <c r="EB10" s="4">
        <v>0</v>
      </c>
      <c r="EC10" s="4">
        <v>0</v>
      </c>
      <c r="ED10" s="4">
        <v>0</v>
      </c>
      <c r="EE10" s="4">
        <v>0</v>
      </c>
      <c r="EF10" s="4">
        <v>0</v>
      </c>
      <c r="EG10" s="4">
        <v>0</v>
      </c>
      <c r="EH10" s="4">
        <v>4.2371619073398215</v>
      </c>
      <c r="EI10" s="4">
        <v>5.2598042846734838</v>
      </c>
      <c r="EJ10" s="4">
        <v>140.43489293167028</v>
      </c>
      <c r="EK10" s="4">
        <v>669.12006733338853</v>
      </c>
      <c r="EL10" s="4">
        <v>0</v>
      </c>
      <c r="EM10" s="4">
        <v>0</v>
      </c>
      <c r="EN10" s="4">
        <v>0</v>
      </c>
      <c r="EO10" s="4">
        <v>0</v>
      </c>
      <c r="EP10" s="4">
        <v>0</v>
      </c>
      <c r="EQ10" s="4">
        <v>0</v>
      </c>
      <c r="ER10" s="4">
        <v>54.633220031718359</v>
      </c>
      <c r="ES10" s="4">
        <v>0</v>
      </c>
      <c r="ET10" s="4">
        <v>0</v>
      </c>
      <c r="EU10" s="4">
        <v>86.174152364238466</v>
      </c>
      <c r="EV10" s="4">
        <v>0</v>
      </c>
      <c r="EW10" s="4">
        <v>22.422070189475917</v>
      </c>
      <c r="EX10" s="4">
        <v>113.99404503846705</v>
      </c>
      <c r="EY10" s="4">
        <v>11.770714810282158</v>
      </c>
      <c r="EZ10" s="4">
        <v>34.870439396224498</v>
      </c>
    </row>
    <row r="11" spans="2:156" ht="29" x14ac:dyDescent="0.35">
      <c r="B11" s="11">
        <v>3</v>
      </c>
      <c r="C11" s="11">
        <v>4</v>
      </c>
      <c r="D11" s="12" t="s">
        <v>172</v>
      </c>
      <c r="E11" s="3" t="s">
        <v>176</v>
      </c>
      <c r="F11" s="6">
        <v>41103.352916057986</v>
      </c>
      <c r="G11" s="4">
        <v>0</v>
      </c>
      <c r="H11" s="4">
        <v>24.285271600401316</v>
      </c>
      <c r="I11" s="4">
        <v>365.81882214949059</v>
      </c>
      <c r="J11" s="4">
        <v>19.1007538978022</v>
      </c>
      <c r="K11" s="4">
        <v>2.4411632611467997</v>
      </c>
      <c r="L11" s="4">
        <v>-16.823053734571598</v>
      </c>
      <c r="M11" s="4">
        <v>25.249989354115513</v>
      </c>
      <c r="N11" s="4">
        <v>0</v>
      </c>
      <c r="O11" s="4">
        <v>0</v>
      </c>
      <c r="P11" s="4">
        <v>0</v>
      </c>
      <c r="Q11" s="4">
        <v>0</v>
      </c>
      <c r="R11" s="4">
        <v>648.81721473648167</v>
      </c>
      <c r="S11" s="4">
        <v>0</v>
      </c>
      <c r="T11" s="4">
        <v>1809.8252409762904</v>
      </c>
      <c r="U11" s="4">
        <v>445.01540143834995</v>
      </c>
      <c r="V11" s="4">
        <v>341.5664195667274</v>
      </c>
      <c r="W11" s="4">
        <v>0</v>
      </c>
      <c r="X11" s="4">
        <v>1.4367100813726337</v>
      </c>
      <c r="Y11" s="4">
        <v>0</v>
      </c>
      <c r="Z11" s="4">
        <v>174.31783134787707</v>
      </c>
      <c r="AA11" s="4">
        <v>151.81328731289329</v>
      </c>
      <c r="AB11" s="4">
        <v>494.99451147840102</v>
      </c>
      <c r="AC11" s="4">
        <v>0</v>
      </c>
      <c r="AD11" s="4">
        <v>222.86582370179104</v>
      </c>
      <c r="AE11" s="4">
        <v>34.602058002110276</v>
      </c>
      <c r="AF11" s="4">
        <v>108.26784484873184</v>
      </c>
      <c r="AG11" s="4">
        <v>57.16942940369902</v>
      </c>
      <c r="AH11" s="4">
        <v>61.961708005946036</v>
      </c>
      <c r="AI11" s="4">
        <v>0</v>
      </c>
      <c r="AJ11" s="4">
        <v>0</v>
      </c>
      <c r="AK11" s="4">
        <v>644.2451739783578</v>
      </c>
      <c r="AL11" s="4">
        <v>401.59023377502837</v>
      </c>
      <c r="AM11" s="4">
        <v>28.797163064562177</v>
      </c>
      <c r="AN11" s="4">
        <v>0</v>
      </c>
      <c r="AO11" s="4">
        <v>0</v>
      </c>
      <c r="AP11" s="4">
        <v>0</v>
      </c>
      <c r="AQ11" s="4">
        <v>31.920913300355366</v>
      </c>
      <c r="AR11" s="4">
        <v>23.762267085998186</v>
      </c>
      <c r="AS11" s="4">
        <v>39.124516015064913</v>
      </c>
      <c r="AT11" s="4">
        <v>7.7972681419890897</v>
      </c>
      <c r="AU11" s="4">
        <v>1.0027167591202586</v>
      </c>
      <c r="AV11" s="4">
        <v>8894.2369428422098</v>
      </c>
      <c r="AW11" s="4">
        <v>38.772489087566257</v>
      </c>
      <c r="AX11" s="4">
        <v>246.86838376540021</v>
      </c>
      <c r="AY11" s="4">
        <v>2.1275875329162002</v>
      </c>
      <c r="AZ11" s="4">
        <v>59.302314709040999</v>
      </c>
      <c r="BA11" s="4">
        <v>0</v>
      </c>
      <c r="BB11" s="4">
        <v>-38.680247124560488</v>
      </c>
      <c r="BC11" s="4">
        <v>107.69319178213833</v>
      </c>
      <c r="BD11" s="4">
        <v>0</v>
      </c>
      <c r="BE11" s="4">
        <v>0</v>
      </c>
      <c r="BF11" s="4">
        <v>569.14534313314505</v>
      </c>
      <c r="BG11" s="4">
        <v>540.55203262739565</v>
      </c>
      <c r="BH11" s="4">
        <v>5.8307593301643701</v>
      </c>
      <c r="BI11" s="4">
        <v>0</v>
      </c>
      <c r="BJ11" s="4">
        <v>0</v>
      </c>
      <c r="BK11" s="4">
        <v>578.78410352336152</v>
      </c>
      <c r="BL11" s="4">
        <v>0</v>
      </c>
      <c r="BM11" s="4">
        <v>0</v>
      </c>
      <c r="BN11" s="4">
        <v>0</v>
      </c>
      <c r="BO11" s="4">
        <v>0</v>
      </c>
      <c r="BP11" s="4">
        <v>0</v>
      </c>
      <c r="BQ11" s="4">
        <v>599.39283902335796</v>
      </c>
      <c r="BR11" s="4">
        <v>670.1199829696335</v>
      </c>
      <c r="BS11" s="4">
        <v>212.10209043217503</v>
      </c>
      <c r="BT11" s="4">
        <v>511.52910443795429</v>
      </c>
      <c r="BU11" s="4">
        <v>1152.0885114679113</v>
      </c>
      <c r="BV11" s="4">
        <v>632.4336462621593</v>
      </c>
      <c r="BW11" s="4">
        <v>0</v>
      </c>
      <c r="BX11" s="4">
        <v>0</v>
      </c>
      <c r="BY11" s="4">
        <v>0</v>
      </c>
      <c r="BZ11" s="4">
        <v>0</v>
      </c>
      <c r="CA11" s="4">
        <v>0</v>
      </c>
      <c r="CB11" s="4">
        <v>0</v>
      </c>
      <c r="CC11" s="4">
        <v>0</v>
      </c>
      <c r="CD11" s="4">
        <v>0</v>
      </c>
      <c r="CE11" s="4">
        <v>0</v>
      </c>
      <c r="CF11" s="4">
        <v>14.07894205874679</v>
      </c>
      <c r="CG11" s="4">
        <v>14.832435484355376</v>
      </c>
      <c r="CH11" s="4">
        <v>1.1914472392406866E-2</v>
      </c>
      <c r="CI11" s="4">
        <v>1.9896953443739134E-2</v>
      </c>
      <c r="CJ11" s="4">
        <v>38.987617052109123</v>
      </c>
      <c r="CK11" s="4">
        <v>136.31850210709942</v>
      </c>
      <c r="CL11" s="4">
        <v>182.60328731168866</v>
      </c>
      <c r="CM11" s="4">
        <v>152.61458237752328</v>
      </c>
      <c r="CN11" s="4">
        <v>19.09277185505816</v>
      </c>
      <c r="CO11" s="4">
        <v>8.3091595100119591</v>
      </c>
      <c r="CP11" s="4">
        <v>2.7993785421333062</v>
      </c>
      <c r="CQ11" s="4">
        <v>325.74494643580181</v>
      </c>
      <c r="CR11" s="4">
        <v>674.85505595356005</v>
      </c>
      <c r="CS11" s="4">
        <v>108.4935706898051</v>
      </c>
      <c r="CT11" s="4">
        <v>51.355014857202335</v>
      </c>
      <c r="CU11" s="4">
        <v>681.88737003795734</v>
      </c>
      <c r="CV11" s="4">
        <v>9.5020778062099236</v>
      </c>
      <c r="CW11" s="4">
        <v>162.85441756389261</v>
      </c>
      <c r="CX11" s="4">
        <v>-19.166822146696266</v>
      </c>
      <c r="CY11" s="4">
        <v>21.161028649303393</v>
      </c>
      <c r="CZ11" s="4">
        <v>7.3253175000473014</v>
      </c>
      <c r="DA11" s="4">
        <v>0</v>
      </c>
      <c r="DB11" s="4">
        <v>139.19627378143349</v>
      </c>
      <c r="DC11" s="4">
        <v>73.140982406677068</v>
      </c>
      <c r="DD11" s="4">
        <v>66.04624443449822</v>
      </c>
      <c r="DE11" s="4">
        <v>21.212275337965401</v>
      </c>
      <c r="DF11" s="4">
        <v>-15.931674536869968</v>
      </c>
      <c r="DG11" s="4">
        <v>115.93725297039376</v>
      </c>
      <c r="DH11" s="4">
        <v>13.385730024043706</v>
      </c>
      <c r="DI11" s="4">
        <v>213.6426675535385</v>
      </c>
      <c r="DJ11" s="4">
        <v>0</v>
      </c>
      <c r="DK11" s="4">
        <v>0</v>
      </c>
      <c r="DL11" s="4">
        <v>0</v>
      </c>
      <c r="DM11" s="4">
        <v>0</v>
      </c>
      <c r="DN11" s="4">
        <v>615.07634354641004</v>
      </c>
      <c r="DO11" s="4">
        <v>61.48031011703435</v>
      </c>
      <c r="DP11" s="4">
        <v>15.4263915012572</v>
      </c>
      <c r="DQ11" s="4">
        <v>201.23370553231354</v>
      </c>
      <c r="DR11" s="4">
        <v>140.23394508688034</v>
      </c>
      <c r="DS11" s="4">
        <v>0</v>
      </c>
      <c r="DT11" s="4">
        <v>0</v>
      </c>
      <c r="DU11" s="4">
        <v>66.929407335581686</v>
      </c>
      <c r="DV11" s="4">
        <v>364.16661418580105</v>
      </c>
      <c r="DW11" s="4">
        <v>106.00937107402258</v>
      </c>
      <c r="DX11" s="4">
        <v>52.921670378883803</v>
      </c>
      <c r="DY11" s="4">
        <v>135.61705574721563</v>
      </c>
      <c r="DZ11" s="4">
        <v>0</v>
      </c>
      <c r="EA11" s="4">
        <v>0</v>
      </c>
      <c r="EB11" s="4">
        <v>0</v>
      </c>
      <c r="EC11" s="4">
        <v>0</v>
      </c>
      <c r="ED11" s="4">
        <v>9.3950705690764441E-2</v>
      </c>
      <c r="EE11" s="4">
        <v>0</v>
      </c>
      <c r="EF11" s="4">
        <v>0</v>
      </c>
      <c r="EG11" s="4">
        <v>0</v>
      </c>
      <c r="EH11" s="4">
        <v>589.35184636665167</v>
      </c>
      <c r="EI11" s="4">
        <v>359.05619850988143</v>
      </c>
      <c r="EJ11" s="4">
        <v>1730.5484753295452</v>
      </c>
      <c r="EK11" s="4">
        <v>623.90466801816331</v>
      </c>
      <c r="EL11" s="4">
        <v>0</v>
      </c>
      <c r="EM11" s="4">
        <v>0</v>
      </c>
      <c r="EN11" s="4">
        <v>0</v>
      </c>
      <c r="EO11" s="4">
        <v>0</v>
      </c>
      <c r="EP11" s="4">
        <v>0</v>
      </c>
      <c r="EQ11" s="4">
        <v>0</v>
      </c>
      <c r="ER11" s="4">
        <v>3758.4085611720393</v>
      </c>
      <c r="ES11" s="4">
        <v>152.56645035780519</v>
      </c>
      <c r="ET11" s="4">
        <v>0</v>
      </c>
      <c r="EU11" s="4">
        <v>6873.8261903999901</v>
      </c>
      <c r="EV11" s="4">
        <v>0</v>
      </c>
      <c r="EW11" s="4">
        <v>446.27867635940657</v>
      </c>
      <c r="EX11" s="4">
        <v>1047.1251362025127</v>
      </c>
      <c r="EY11" s="4">
        <v>6.8696351764564199</v>
      </c>
      <c r="EZ11" s="4">
        <v>484.87441396140588</v>
      </c>
    </row>
    <row r="12" spans="2:156" ht="29" x14ac:dyDescent="0.35">
      <c r="B12" s="11">
        <v>3</v>
      </c>
      <c r="C12" s="11">
        <v>5</v>
      </c>
      <c r="D12" s="12" t="s">
        <v>172</v>
      </c>
      <c r="E12" s="3" t="s">
        <v>177</v>
      </c>
      <c r="F12" s="6">
        <v>721.55268503366642</v>
      </c>
      <c r="G12" s="4">
        <v>0</v>
      </c>
      <c r="H12" s="4">
        <v>1.2553130305431086</v>
      </c>
      <c r="I12" s="4">
        <v>3.7676415562082761</v>
      </c>
      <c r="J12" s="4">
        <v>4.5112157688903771</v>
      </c>
      <c r="K12" s="4">
        <v>0</v>
      </c>
      <c r="L12" s="4">
        <v>24.995803912300069</v>
      </c>
      <c r="M12" s="4">
        <v>0</v>
      </c>
      <c r="N12" s="4">
        <v>0</v>
      </c>
      <c r="O12" s="4">
        <v>0</v>
      </c>
      <c r="P12" s="4">
        <v>0</v>
      </c>
      <c r="Q12" s="4">
        <v>0</v>
      </c>
      <c r="R12" s="4">
        <v>10.770471268949635</v>
      </c>
      <c r="S12" s="4">
        <v>0</v>
      </c>
      <c r="T12" s="4">
        <v>8.0316047294535551</v>
      </c>
      <c r="U12" s="4">
        <v>2.6387783220058325</v>
      </c>
      <c r="V12" s="4">
        <v>1.9276345390310199</v>
      </c>
      <c r="W12" s="4">
        <v>0</v>
      </c>
      <c r="X12" s="4">
        <v>0</v>
      </c>
      <c r="Y12" s="4">
        <v>0</v>
      </c>
      <c r="Z12" s="4">
        <v>0.35155893555319695</v>
      </c>
      <c r="AA12" s="4">
        <v>0</v>
      </c>
      <c r="AB12" s="4">
        <v>8.8933938458265942</v>
      </c>
      <c r="AC12" s="4">
        <v>0</v>
      </c>
      <c r="AD12" s="4">
        <v>27.076886194809354</v>
      </c>
      <c r="AE12" s="4">
        <v>0.70916162036166686</v>
      </c>
      <c r="AF12" s="4">
        <v>0.36316166546432482</v>
      </c>
      <c r="AG12" s="4">
        <v>0</v>
      </c>
      <c r="AH12" s="4">
        <v>9.661522775855122E-2</v>
      </c>
      <c r="AI12" s="4">
        <v>0</v>
      </c>
      <c r="AJ12" s="4">
        <v>0</v>
      </c>
      <c r="AK12" s="4">
        <v>1.4595396196674453</v>
      </c>
      <c r="AL12" s="4">
        <v>8.1810598581682274</v>
      </c>
      <c r="AM12" s="4">
        <v>0.16469907765834374</v>
      </c>
      <c r="AN12" s="4">
        <v>0</v>
      </c>
      <c r="AO12" s="4">
        <v>0</v>
      </c>
      <c r="AP12" s="4">
        <v>0</v>
      </c>
      <c r="AQ12" s="4">
        <v>7.3197825163415789E-2</v>
      </c>
      <c r="AR12" s="4">
        <v>0</v>
      </c>
      <c r="AS12" s="4">
        <v>0.55438403504199751</v>
      </c>
      <c r="AT12" s="4">
        <v>1.6623008728365172</v>
      </c>
      <c r="AU12" s="4">
        <v>0</v>
      </c>
      <c r="AV12" s="4">
        <v>11.978068491878517</v>
      </c>
      <c r="AW12" s="4">
        <v>5.958626026325374E-3</v>
      </c>
      <c r="AX12" s="4">
        <v>0.1613936420844701</v>
      </c>
      <c r="AY12" s="4">
        <v>0</v>
      </c>
      <c r="AZ12" s="4">
        <v>0.43793241679839112</v>
      </c>
      <c r="BA12" s="4">
        <v>0</v>
      </c>
      <c r="BB12" s="4">
        <v>10.890233874374145</v>
      </c>
      <c r="BC12" s="4">
        <v>1.3655468387758807</v>
      </c>
      <c r="BD12" s="4">
        <v>0</v>
      </c>
      <c r="BE12" s="4">
        <v>0</v>
      </c>
      <c r="BF12" s="4">
        <v>0.526661979063344</v>
      </c>
      <c r="BG12" s="4">
        <v>1.2718518164007129</v>
      </c>
      <c r="BH12" s="4">
        <v>0</v>
      </c>
      <c r="BI12" s="4">
        <v>0</v>
      </c>
      <c r="BJ12" s="4">
        <v>0</v>
      </c>
      <c r="BK12" s="4">
        <v>1.9331485293978456</v>
      </c>
      <c r="BL12" s="4">
        <v>0</v>
      </c>
      <c r="BM12" s="4">
        <v>0</v>
      </c>
      <c r="BN12" s="4">
        <v>0</v>
      </c>
      <c r="BO12" s="4">
        <v>0</v>
      </c>
      <c r="BP12" s="4">
        <v>0</v>
      </c>
      <c r="BQ12" s="4">
        <v>0</v>
      </c>
      <c r="BR12" s="4">
        <v>5.2377973335739112</v>
      </c>
      <c r="BS12" s="4">
        <v>1.6951856191474504</v>
      </c>
      <c r="BT12" s="4">
        <v>7.4784116723493632</v>
      </c>
      <c r="BU12" s="4">
        <v>6.7066977637861482</v>
      </c>
      <c r="BV12" s="4">
        <v>2.3243388123321398</v>
      </c>
      <c r="BW12" s="4">
        <v>0.48830294713679534</v>
      </c>
      <c r="BX12" s="4">
        <v>0</v>
      </c>
      <c r="BY12" s="4">
        <v>0</v>
      </c>
      <c r="BZ12" s="4">
        <v>0</v>
      </c>
      <c r="CA12" s="4">
        <v>0</v>
      </c>
      <c r="CB12" s="4">
        <v>0</v>
      </c>
      <c r="CC12" s="4">
        <v>0</v>
      </c>
      <c r="CD12" s="4">
        <v>0</v>
      </c>
      <c r="CE12" s="4">
        <v>0</v>
      </c>
      <c r="CF12" s="4">
        <v>0.63017183066086779</v>
      </c>
      <c r="CG12" s="4">
        <v>0</v>
      </c>
      <c r="CH12" s="4">
        <v>0.51112927474550673</v>
      </c>
      <c r="CI12" s="4">
        <v>0.70749532380027758</v>
      </c>
      <c r="CJ12" s="4">
        <v>0.191527265131887</v>
      </c>
      <c r="CK12" s="4">
        <v>0.18480253004503408</v>
      </c>
      <c r="CL12" s="4">
        <v>0.25690190496357113</v>
      </c>
      <c r="CM12" s="4">
        <v>2.5707215142146609E-2</v>
      </c>
      <c r="CN12" s="4">
        <v>0.15935068458972998</v>
      </c>
      <c r="CO12" s="4">
        <v>5.8054042142198642E-2</v>
      </c>
      <c r="CP12" s="4">
        <v>0</v>
      </c>
      <c r="CQ12" s="4">
        <v>16.644295316701495</v>
      </c>
      <c r="CR12" s="4">
        <v>4.5472658458634614</v>
      </c>
      <c r="CS12" s="4">
        <v>10.82304626673754</v>
      </c>
      <c r="CT12" s="4">
        <v>3.8816192400062427E-2</v>
      </c>
      <c r="CU12" s="4">
        <v>51.582266883322021</v>
      </c>
      <c r="CV12" s="4">
        <v>0</v>
      </c>
      <c r="CW12" s="4">
        <v>7.7744967288724229</v>
      </c>
      <c r="CX12" s="4">
        <v>7.8084961852613724E-2</v>
      </c>
      <c r="CY12" s="4">
        <v>1.0828824258239451</v>
      </c>
      <c r="CZ12" s="4">
        <v>4.2195958363699743E-2</v>
      </c>
      <c r="DA12" s="4">
        <v>7.3555403428203714E-2</v>
      </c>
      <c r="DB12" s="4">
        <v>0.77710169454734868</v>
      </c>
      <c r="DC12" s="4">
        <v>0.2437474369349531</v>
      </c>
      <c r="DD12" s="4">
        <v>0.94384201380688804</v>
      </c>
      <c r="DE12" s="4">
        <v>2.7424339012503007</v>
      </c>
      <c r="DF12" s="4">
        <v>2.6755755182979932</v>
      </c>
      <c r="DG12" s="4">
        <v>0.94785371711963484</v>
      </c>
      <c r="DH12" s="4">
        <v>0.21004262953372113</v>
      </c>
      <c r="DI12" s="4">
        <v>0.51188185641066697</v>
      </c>
      <c r="DJ12" s="4">
        <v>0</v>
      </c>
      <c r="DK12" s="4">
        <v>0</v>
      </c>
      <c r="DL12" s="4">
        <v>0</v>
      </c>
      <c r="DM12" s="4">
        <v>0</v>
      </c>
      <c r="DN12" s="4">
        <v>0.48334683264885298</v>
      </c>
      <c r="DO12" s="4">
        <v>0.30024694017181253</v>
      </c>
      <c r="DP12" s="4">
        <v>1.0470157160543154E-2</v>
      </c>
      <c r="DQ12" s="4">
        <v>0.17984911890087971</v>
      </c>
      <c r="DR12" s="4">
        <v>0.41497574111908853</v>
      </c>
      <c r="DS12" s="4">
        <v>2.2265532111564776</v>
      </c>
      <c r="DT12" s="4">
        <v>0</v>
      </c>
      <c r="DU12" s="4">
        <v>14.613737911684131</v>
      </c>
      <c r="DV12" s="4">
        <v>31.231118928632668</v>
      </c>
      <c r="DW12" s="4">
        <v>43.832228147990151</v>
      </c>
      <c r="DX12" s="4">
        <v>0</v>
      </c>
      <c r="DY12" s="4">
        <v>11.42372396986134</v>
      </c>
      <c r="DZ12" s="4">
        <v>0</v>
      </c>
      <c r="EA12" s="4">
        <v>0</v>
      </c>
      <c r="EB12" s="4">
        <v>0</v>
      </c>
      <c r="EC12" s="4">
        <v>0</v>
      </c>
      <c r="ED12" s="4">
        <v>0</v>
      </c>
      <c r="EE12" s="4">
        <v>0</v>
      </c>
      <c r="EF12" s="4">
        <v>0</v>
      </c>
      <c r="EG12" s="4">
        <v>0</v>
      </c>
      <c r="EH12" s="4">
        <v>0.30350431911546183</v>
      </c>
      <c r="EI12" s="4">
        <v>8.0640475516701446</v>
      </c>
      <c r="EJ12" s="4">
        <v>0</v>
      </c>
      <c r="EK12" s="4">
        <v>256.97072265696147</v>
      </c>
      <c r="EL12" s="4">
        <v>0</v>
      </c>
      <c r="EM12" s="4">
        <v>0</v>
      </c>
      <c r="EN12" s="4">
        <v>0</v>
      </c>
      <c r="EO12" s="4">
        <v>0</v>
      </c>
      <c r="EP12" s="4">
        <v>0</v>
      </c>
      <c r="EQ12" s="4">
        <v>0</v>
      </c>
      <c r="ER12" s="4">
        <v>19.656440034479342</v>
      </c>
      <c r="ES12" s="4">
        <v>0</v>
      </c>
      <c r="ET12" s="4">
        <v>0</v>
      </c>
      <c r="EU12" s="4">
        <v>4.4489202153187728</v>
      </c>
      <c r="EV12" s="4">
        <v>0</v>
      </c>
      <c r="EW12" s="4">
        <v>3.6351300843647025</v>
      </c>
      <c r="EX12" s="4">
        <v>46.924123818124258</v>
      </c>
      <c r="EY12" s="4">
        <v>10.725595972623713</v>
      </c>
      <c r="EZ12" s="4">
        <v>8.5904552830986987</v>
      </c>
    </row>
    <row r="13" spans="2:156" x14ac:dyDescent="0.35">
      <c r="B13" s="11">
        <v>3</v>
      </c>
      <c r="C13" s="11">
        <v>6</v>
      </c>
      <c r="D13" s="12" t="s">
        <v>172</v>
      </c>
      <c r="E13" s="3" t="s">
        <v>178</v>
      </c>
      <c r="F13" s="6">
        <v>6514.0033433914032</v>
      </c>
      <c r="G13" s="4">
        <v>0</v>
      </c>
      <c r="H13" s="4">
        <v>82.287549698365169</v>
      </c>
      <c r="I13" s="4">
        <v>372.66033690857188</v>
      </c>
      <c r="J13" s="4">
        <v>62.566132138866763</v>
      </c>
      <c r="K13" s="4">
        <v>1.5276693124362533</v>
      </c>
      <c r="L13" s="4">
        <v>168.37752162614754</v>
      </c>
      <c r="M13" s="4">
        <v>63.973031436874336</v>
      </c>
      <c r="N13" s="4">
        <v>0</v>
      </c>
      <c r="O13" s="4">
        <v>0</v>
      </c>
      <c r="P13" s="4">
        <v>0</v>
      </c>
      <c r="Q13" s="4">
        <v>209.13625863449437</v>
      </c>
      <c r="R13" s="4">
        <v>387.09525626718732</v>
      </c>
      <c r="S13" s="4">
        <v>0</v>
      </c>
      <c r="T13" s="4">
        <v>413.29639983621098</v>
      </c>
      <c r="U13" s="4">
        <v>39.120792136304097</v>
      </c>
      <c r="V13" s="4">
        <v>19.853742738285273</v>
      </c>
      <c r="W13" s="4">
        <v>0.28878114328536203</v>
      </c>
      <c r="X13" s="4">
        <v>4.599273985224178</v>
      </c>
      <c r="Y13" s="4">
        <v>0</v>
      </c>
      <c r="Z13" s="4">
        <v>136.02965637219432</v>
      </c>
      <c r="AA13" s="4">
        <v>39.944674580124627</v>
      </c>
      <c r="AB13" s="4">
        <v>64.996239882570308</v>
      </c>
      <c r="AC13" s="4">
        <v>4.4807455966584735</v>
      </c>
      <c r="AD13" s="4">
        <v>25.87564925136121</v>
      </c>
      <c r="AE13" s="4">
        <v>38.90337945854634</v>
      </c>
      <c r="AF13" s="4">
        <v>12.319619184082779</v>
      </c>
      <c r="AG13" s="4">
        <v>12.501641111323902</v>
      </c>
      <c r="AH13" s="4">
        <v>11.271406892804514</v>
      </c>
      <c r="AI13" s="4">
        <v>0</v>
      </c>
      <c r="AJ13" s="4">
        <v>0</v>
      </c>
      <c r="AK13" s="4">
        <v>84.535829380385664</v>
      </c>
      <c r="AL13" s="4">
        <v>80.947534793815123</v>
      </c>
      <c r="AM13" s="4">
        <v>3.2999038186519898</v>
      </c>
      <c r="AN13" s="4">
        <v>0</v>
      </c>
      <c r="AO13" s="4">
        <v>0</v>
      </c>
      <c r="AP13" s="4">
        <v>6.1055753707724634</v>
      </c>
      <c r="AQ13" s="4">
        <v>1.841635844457012</v>
      </c>
      <c r="AR13" s="4">
        <v>19.648611590755056</v>
      </c>
      <c r="AS13" s="4">
        <v>11.916066883885968</v>
      </c>
      <c r="AT13" s="4">
        <v>93.809159284122273</v>
      </c>
      <c r="AU13" s="4">
        <v>0.14416645368345002</v>
      </c>
      <c r="AV13" s="4">
        <v>86.675610504298433</v>
      </c>
      <c r="AW13" s="4">
        <v>7.0870465580635509</v>
      </c>
      <c r="AX13" s="4">
        <v>102.60816806019709</v>
      </c>
      <c r="AY13" s="4">
        <v>3.5224108083557586</v>
      </c>
      <c r="AZ13" s="4">
        <v>21.293513658969207</v>
      </c>
      <c r="BA13" s="4">
        <v>0</v>
      </c>
      <c r="BB13" s="4">
        <v>24.391852762967552</v>
      </c>
      <c r="BC13" s="4">
        <v>101.93829651923109</v>
      </c>
      <c r="BD13" s="4">
        <v>0</v>
      </c>
      <c r="BE13" s="4">
        <v>12.902963911801706</v>
      </c>
      <c r="BF13" s="4">
        <v>34.563062992774363</v>
      </c>
      <c r="BG13" s="4">
        <v>0</v>
      </c>
      <c r="BH13" s="4">
        <v>0.70728010713210143</v>
      </c>
      <c r="BI13" s="4">
        <v>19.449155489934558</v>
      </c>
      <c r="BJ13" s="4">
        <v>103.12523851104754</v>
      </c>
      <c r="BK13" s="4">
        <v>172.08942152588844</v>
      </c>
      <c r="BL13" s="4">
        <v>54.622607150270738</v>
      </c>
      <c r="BM13" s="4">
        <v>7.0567372059623752</v>
      </c>
      <c r="BN13" s="4">
        <v>0.93737586936455353</v>
      </c>
      <c r="BO13" s="4">
        <v>5.0076108572568669</v>
      </c>
      <c r="BP13" s="4">
        <v>0</v>
      </c>
      <c r="BQ13" s="4">
        <v>28.749154786902967</v>
      </c>
      <c r="BR13" s="4">
        <v>33.329653499453251</v>
      </c>
      <c r="BS13" s="4">
        <v>3.9369762843462133</v>
      </c>
      <c r="BT13" s="4">
        <v>19.725143517080696</v>
      </c>
      <c r="BU13" s="4">
        <v>42.129011361756142</v>
      </c>
      <c r="BV13" s="4">
        <v>53.642461185085629</v>
      </c>
      <c r="BW13" s="4">
        <v>576.43450204087742</v>
      </c>
      <c r="BX13" s="4">
        <v>0</v>
      </c>
      <c r="BY13" s="4">
        <v>0</v>
      </c>
      <c r="BZ13" s="4">
        <v>0</v>
      </c>
      <c r="CA13" s="4">
        <v>0</v>
      </c>
      <c r="CB13" s="4">
        <v>101.99382932488579</v>
      </c>
      <c r="CC13" s="4">
        <v>-215.23262865730723</v>
      </c>
      <c r="CD13" s="4">
        <v>76.794584540688149</v>
      </c>
      <c r="CE13" s="4">
        <v>36.444214791733316</v>
      </c>
      <c r="CF13" s="4">
        <v>35.294949531393051</v>
      </c>
      <c r="CG13" s="4">
        <v>29.879875487014417</v>
      </c>
      <c r="CH13" s="4">
        <v>1.5985860905956824</v>
      </c>
      <c r="CI13" s="4">
        <v>3.8392555946098299</v>
      </c>
      <c r="CJ13" s="4">
        <v>46.583680307824906</v>
      </c>
      <c r="CK13" s="4">
        <v>18.468736324601643</v>
      </c>
      <c r="CL13" s="4">
        <v>47.657130102806789</v>
      </c>
      <c r="CM13" s="4">
        <v>0.20979597634911731</v>
      </c>
      <c r="CN13" s="4">
        <v>9.2022978774132831</v>
      </c>
      <c r="CO13" s="4">
        <v>7.6530182859610809</v>
      </c>
      <c r="CP13" s="4">
        <v>0</v>
      </c>
      <c r="CQ13" s="4">
        <v>0.19347551913890354</v>
      </c>
      <c r="CR13" s="4">
        <v>2.0821725489422827</v>
      </c>
      <c r="CS13" s="4">
        <v>2.4805802250042892</v>
      </c>
      <c r="CT13" s="4">
        <v>43.945120153829784</v>
      </c>
      <c r="CU13" s="4">
        <v>28.251632486385912</v>
      </c>
      <c r="CV13" s="4">
        <v>4.0177680014946162</v>
      </c>
      <c r="CW13" s="4">
        <v>3.0944394813991511</v>
      </c>
      <c r="CX13" s="4">
        <v>3.7125603599686481</v>
      </c>
      <c r="CY13" s="4">
        <v>3.5713011919013509</v>
      </c>
      <c r="CZ13" s="4">
        <v>22.777313105934994</v>
      </c>
      <c r="DA13" s="4">
        <v>22.327228422765611</v>
      </c>
      <c r="DB13" s="4">
        <v>108.6308854713081</v>
      </c>
      <c r="DC13" s="4">
        <v>3.1302044437344052</v>
      </c>
      <c r="DD13" s="4">
        <v>3.973388299714939</v>
      </c>
      <c r="DE13" s="4">
        <v>13.502959190174446</v>
      </c>
      <c r="DF13" s="4">
        <v>7.9053170678360551</v>
      </c>
      <c r="DG13" s="4">
        <v>0.3164088135240275</v>
      </c>
      <c r="DH13" s="4">
        <v>1.3828385810402646</v>
      </c>
      <c r="DI13" s="4">
        <v>6.6756721128661169</v>
      </c>
      <c r="DJ13" s="4">
        <v>51.947558117955943</v>
      </c>
      <c r="DK13" s="4">
        <v>0</v>
      </c>
      <c r="DL13" s="4">
        <v>0</v>
      </c>
      <c r="DM13" s="4">
        <v>0</v>
      </c>
      <c r="DN13" s="4">
        <v>16.308169893753433</v>
      </c>
      <c r="DO13" s="4">
        <v>0.95082299523356029</v>
      </c>
      <c r="DP13" s="4">
        <v>0.72938779966598666</v>
      </c>
      <c r="DQ13" s="4">
        <v>9.4045721479098958</v>
      </c>
      <c r="DR13" s="4">
        <v>11.159473875657534</v>
      </c>
      <c r="DS13" s="4">
        <v>1.0237020250830342</v>
      </c>
      <c r="DT13" s="4">
        <v>0</v>
      </c>
      <c r="DU13" s="4">
        <v>2.1433018343331605</v>
      </c>
      <c r="DV13" s="4">
        <v>68.00574467785593</v>
      </c>
      <c r="DW13" s="4">
        <v>5.3300464730125174</v>
      </c>
      <c r="DX13" s="4">
        <v>-1.1710403438166725</v>
      </c>
      <c r="DY13" s="4">
        <v>71.291786843667566</v>
      </c>
      <c r="DZ13" s="4">
        <v>20.98133546204371</v>
      </c>
      <c r="EA13" s="4">
        <v>16.800853470781703</v>
      </c>
      <c r="EB13" s="4">
        <v>19.080605692982342</v>
      </c>
      <c r="EC13" s="4">
        <v>1.490921820642285</v>
      </c>
      <c r="ED13" s="4">
        <v>0</v>
      </c>
      <c r="EE13" s="4">
        <v>4.5738856721045638</v>
      </c>
      <c r="EF13" s="4">
        <v>4.7358092373463254</v>
      </c>
      <c r="EG13" s="4">
        <v>2.96750950585229</v>
      </c>
      <c r="EH13" s="4">
        <v>38.271485451091671</v>
      </c>
      <c r="EI13" s="4">
        <v>31.664849183630789</v>
      </c>
      <c r="EJ13" s="4">
        <v>138.18319008063352</v>
      </c>
      <c r="EK13" s="4">
        <v>327.46152783056459</v>
      </c>
      <c r="EL13" s="4">
        <v>76.939837360745727</v>
      </c>
      <c r="EM13" s="4">
        <v>0</v>
      </c>
      <c r="EN13" s="4">
        <v>22.915657929616088</v>
      </c>
      <c r="EO13" s="4">
        <v>-22.915657929616088</v>
      </c>
      <c r="EP13" s="4">
        <v>0</v>
      </c>
      <c r="EQ13" s="4">
        <v>0</v>
      </c>
      <c r="ER13" s="4">
        <v>169.91693166850246</v>
      </c>
      <c r="ES13" s="4">
        <v>0</v>
      </c>
      <c r="ET13" s="4">
        <v>122.64795079758271</v>
      </c>
      <c r="EU13" s="4">
        <v>369.84428720964894</v>
      </c>
      <c r="EV13" s="4">
        <v>0</v>
      </c>
      <c r="EW13" s="4">
        <v>39.130567591404798</v>
      </c>
      <c r="EX13" s="4">
        <v>412.80331482849834</v>
      </c>
      <c r="EY13" s="4">
        <v>35.175503595089062</v>
      </c>
      <c r="EZ13" s="4">
        <v>9.8379925387465175</v>
      </c>
    </row>
    <row r="14" spans="2:156" x14ac:dyDescent="0.35">
      <c r="B14" s="11">
        <v>3</v>
      </c>
      <c r="C14" s="11">
        <v>7</v>
      </c>
      <c r="D14" s="12" t="s">
        <v>172</v>
      </c>
      <c r="E14" s="3" t="s">
        <v>179</v>
      </c>
      <c r="F14" s="6">
        <v>6123.1242941016217</v>
      </c>
      <c r="G14" s="4">
        <v>0</v>
      </c>
      <c r="H14" s="4">
        <v>0</v>
      </c>
      <c r="I14" s="4">
        <v>206.91643381723148</v>
      </c>
      <c r="J14" s="4">
        <v>92.455158957454856</v>
      </c>
      <c r="K14" s="4">
        <v>0</v>
      </c>
      <c r="L14" s="4">
        <v>229.06361066953571</v>
      </c>
      <c r="M14" s="4">
        <v>0</v>
      </c>
      <c r="N14" s="4">
        <v>0</v>
      </c>
      <c r="O14" s="4">
        <v>0</v>
      </c>
      <c r="P14" s="4">
        <v>0</v>
      </c>
      <c r="Q14" s="4">
        <v>5.096940311405354</v>
      </c>
      <c r="R14" s="4">
        <v>120.62758736992666</v>
      </c>
      <c r="S14" s="4">
        <v>0</v>
      </c>
      <c r="T14" s="4">
        <v>168.19903027637665</v>
      </c>
      <c r="U14" s="4">
        <v>45.458514953770276</v>
      </c>
      <c r="V14" s="4">
        <v>35.248090367249326</v>
      </c>
      <c r="W14" s="4">
        <v>0</v>
      </c>
      <c r="X14" s="4">
        <v>0</v>
      </c>
      <c r="Y14" s="4">
        <v>0</v>
      </c>
      <c r="Z14" s="4">
        <v>64.240254964860725</v>
      </c>
      <c r="AA14" s="4">
        <v>10.193880622810708</v>
      </c>
      <c r="AB14" s="4">
        <v>57.539691780454035</v>
      </c>
      <c r="AC14" s="4">
        <v>1.6989801038017842</v>
      </c>
      <c r="AD14" s="4">
        <v>31.230870881388121</v>
      </c>
      <c r="AE14" s="4">
        <v>124.929243692996</v>
      </c>
      <c r="AF14" s="4">
        <v>15.184428499031423</v>
      </c>
      <c r="AG14" s="4">
        <v>0</v>
      </c>
      <c r="AH14" s="4">
        <v>38.791409763519916</v>
      </c>
      <c r="AI14" s="4">
        <v>0</v>
      </c>
      <c r="AJ14" s="4">
        <v>1.6989801038017842</v>
      </c>
      <c r="AK14" s="4">
        <v>132.75122413969055</v>
      </c>
      <c r="AL14" s="4">
        <v>175.22490095866286</v>
      </c>
      <c r="AM14" s="4">
        <v>18.688781141819625</v>
      </c>
      <c r="AN14" s="4">
        <v>0</v>
      </c>
      <c r="AO14" s="4">
        <v>0</v>
      </c>
      <c r="AP14" s="4">
        <v>0</v>
      </c>
      <c r="AQ14" s="4">
        <v>5.096940311405354</v>
      </c>
      <c r="AR14" s="4">
        <v>8.4949005190089206</v>
      </c>
      <c r="AS14" s="4">
        <v>0</v>
      </c>
      <c r="AT14" s="4">
        <v>18.550407747351695</v>
      </c>
      <c r="AU14" s="4">
        <v>0</v>
      </c>
      <c r="AV14" s="4">
        <v>145.47224519604984</v>
      </c>
      <c r="AW14" s="4">
        <v>4.4828793392904576</v>
      </c>
      <c r="AX14" s="4">
        <v>31.290462897414166</v>
      </c>
      <c r="AY14" s="4">
        <v>1.6989801038017842</v>
      </c>
      <c r="AZ14" s="4">
        <v>18.332505693507496</v>
      </c>
      <c r="BA14" s="4">
        <v>0</v>
      </c>
      <c r="BB14" s="4">
        <v>32.543107224514252</v>
      </c>
      <c r="BC14" s="4">
        <v>135.07796386165157</v>
      </c>
      <c r="BD14" s="4">
        <v>0</v>
      </c>
      <c r="BE14" s="4">
        <v>5.096940311405354</v>
      </c>
      <c r="BF14" s="4">
        <v>55.207186512203286</v>
      </c>
      <c r="BG14" s="4">
        <v>147.24658576056862</v>
      </c>
      <c r="BH14" s="4">
        <v>0</v>
      </c>
      <c r="BI14" s="4">
        <v>0</v>
      </c>
      <c r="BJ14" s="4">
        <v>0</v>
      </c>
      <c r="BK14" s="4">
        <v>135.12802248549707</v>
      </c>
      <c r="BL14" s="4">
        <v>0</v>
      </c>
      <c r="BM14" s="4">
        <v>0</v>
      </c>
      <c r="BN14" s="4">
        <v>0</v>
      </c>
      <c r="BO14" s="4">
        <v>0</v>
      </c>
      <c r="BP14" s="4">
        <v>0</v>
      </c>
      <c r="BQ14" s="4">
        <v>0</v>
      </c>
      <c r="BR14" s="4">
        <v>0</v>
      </c>
      <c r="BS14" s="4">
        <v>0</v>
      </c>
      <c r="BT14" s="4">
        <v>0</v>
      </c>
      <c r="BU14" s="4">
        <v>325.31558792545434</v>
      </c>
      <c r="BV14" s="4">
        <v>0</v>
      </c>
      <c r="BW14" s="4">
        <v>26.853387057447847</v>
      </c>
      <c r="BX14" s="4">
        <v>0</v>
      </c>
      <c r="BY14" s="4">
        <v>0</v>
      </c>
      <c r="BZ14" s="4">
        <v>10.193880622810708</v>
      </c>
      <c r="CA14" s="4">
        <v>0</v>
      </c>
      <c r="CB14" s="4">
        <v>5.096940311405354</v>
      </c>
      <c r="CC14" s="4">
        <v>0</v>
      </c>
      <c r="CD14" s="4">
        <v>3.3979602076035684</v>
      </c>
      <c r="CE14" s="4">
        <v>1.6989801038017842</v>
      </c>
      <c r="CF14" s="4">
        <v>8.4949005190089206</v>
      </c>
      <c r="CG14" s="4">
        <v>0</v>
      </c>
      <c r="CH14" s="4">
        <v>0</v>
      </c>
      <c r="CI14" s="4">
        <v>0</v>
      </c>
      <c r="CJ14" s="4">
        <v>54.724863241899975</v>
      </c>
      <c r="CK14" s="4">
        <v>18.902761313379681</v>
      </c>
      <c r="CL14" s="4">
        <v>121.54227830118062</v>
      </c>
      <c r="CM14" s="4">
        <v>19.526203579902017</v>
      </c>
      <c r="CN14" s="4">
        <v>35.211322774428218</v>
      </c>
      <c r="CO14" s="4">
        <v>9.8467159807237277</v>
      </c>
      <c r="CP14" s="4">
        <v>0</v>
      </c>
      <c r="CQ14" s="4">
        <v>0</v>
      </c>
      <c r="CR14" s="4">
        <v>30.397760941628402</v>
      </c>
      <c r="CS14" s="4">
        <v>25.511771746881418</v>
      </c>
      <c r="CT14" s="4">
        <v>72.585988495910442</v>
      </c>
      <c r="CU14" s="4">
        <v>69.424495886166795</v>
      </c>
      <c r="CV14" s="4">
        <v>10.613853587005648</v>
      </c>
      <c r="CW14" s="4">
        <v>9.6636348749037388</v>
      </c>
      <c r="CX14" s="4">
        <v>13.119734396049283</v>
      </c>
      <c r="CY14" s="4">
        <v>4.811031767110058</v>
      </c>
      <c r="CZ14" s="4">
        <v>15.304811062264848</v>
      </c>
      <c r="DA14" s="4">
        <v>15.290820934216056</v>
      </c>
      <c r="DB14" s="4">
        <v>129.56154019899333</v>
      </c>
      <c r="DC14" s="4">
        <v>11.387943476524994</v>
      </c>
      <c r="DD14" s="4">
        <v>2.4763881042369218</v>
      </c>
      <c r="DE14" s="4">
        <v>5.9484746557822765</v>
      </c>
      <c r="DF14" s="4">
        <v>19.806493920555639</v>
      </c>
      <c r="DG14" s="4">
        <v>8.0400916726028147</v>
      </c>
      <c r="DH14" s="4">
        <v>2.893169633020042</v>
      </c>
      <c r="DI14" s="4">
        <v>115.53064705852134</v>
      </c>
      <c r="DJ14" s="4">
        <v>63.432945415102971</v>
      </c>
      <c r="DK14" s="4">
        <v>0</v>
      </c>
      <c r="DL14" s="4">
        <v>0</v>
      </c>
      <c r="DM14" s="4">
        <v>0</v>
      </c>
      <c r="DN14" s="4">
        <v>49.45853926458679</v>
      </c>
      <c r="DO14" s="4">
        <v>13.591840830414274</v>
      </c>
      <c r="DP14" s="4">
        <v>8.9104032910383246</v>
      </c>
      <c r="DQ14" s="4">
        <v>29.632018015508695</v>
      </c>
      <c r="DR14" s="4">
        <v>56.664595354490224</v>
      </c>
      <c r="DS14" s="4">
        <v>0</v>
      </c>
      <c r="DT14" s="4">
        <v>0</v>
      </c>
      <c r="DU14" s="4">
        <v>67.718764052571316</v>
      </c>
      <c r="DV14" s="4">
        <v>163.33343284243662</v>
      </c>
      <c r="DW14" s="4">
        <v>85.037733317145424</v>
      </c>
      <c r="DX14" s="4">
        <v>82.511769342197155</v>
      </c>
      <c r="DY14" s="4">
        <v>0</v>
      </c>
      <c r="DZ14" s="4">
        <v>0</v>
      </c>
      <c r="EA14" s="4">
        <v>0</v>
      </c>
      <c r="EB14" s="4">
        <v>0</v>
      </c>
      <c r="EC14" s="4">
        <v>0</v>
      </c>
      <c r="ED14" s="4">
        <v>0</v>
      </c>
      <c r="EE14" s="4">
        <v>0</v>
      </c>
      <c r="EF14" s="4">
        <v>0</v>
      </c>
      <c r="EG14" s="4">
        <v>0</v>
      </c>
      <c r="EH14" s="4">
        <v>21.768939946632656</v>
      </c>
      <c r="EI14" s="4">
        <v>33.866062229234316</v>
      </c>
      <c r="EJ14" s="4">
        <v>105.33676643571062</v>
      </c>
      <c r="EK14" s="4">
        <v>748.63108516413854</v>
      </c>
      <c r="EL14" s="4">
        <v>8.4949005190089206</v>
      </c>
      <c r="EM14" s="4">
        <v>0</v>
      </c>
      <c r="EN14" s="4">
        <v>1.6989801038017842</v>
      </c>
      <c r="EO14" s="4">
        <v>0</v>
      </c>
      <c r="EP14" s="4">
        <v>1.6989801038017842</v>
      </c>
      <c r="EQ14" s="4">
        <v>1.6989801038017842</v>
      </c>
      <c r="ER14" s="4">
        <v>223.42772149555765</v>
      </c>
      <c r="ES14" s="4">
        <v>0</v>
      </c>
      <c r="ET14" s="4">
        <v>16.989801038017841</v>
      </c>
      <c r="EU14" s="4">
        <v>390.43404299617265</v>
      </c>
      <c r="EV14" s="4">
        <v>1.6989801038017842</v>
      </c>
      <c r="EW14" s="4">
        <v>73.098124051919513</v>
      </c>
      <c r="EX14" s="4">
        <v>300.88790927959741</v>
      </c>
      <c r="EY14" s="4">
        <v>8.4949005190089206</v>
      </c>
      <c r="EZ14" s="4">
        <v>42.474502595044612</v>
      </c>
    </row>
    <row r="15" spans="2:156" x14ac:dyDescent="0.35">
      <c r="B15" s="11">
        <v>3</v>
      </c>
      <c r="C15" s="11">
        <v>8</v>
      </c>
      <c r="D15" s="12" t="s">
        <v>172</v>
      </c>
      <c r="E15" s="3" t="s">
        <v>180</v>
      </c>
      <c r="F15" s="6">
        <v>2800.9243702788704</v>
      </c>
      <c r="G15" s="4">
        <v>0</v>
      </c>
      <c r="H15" s="4">
        <v>14.445611752351367</v>
      </c>
      <c r="I15" s="4">
        <v>34.059600043451312</v>
      </c>
      <c r="J15" s="4">
        <v>26.689128000274934</v>
      </c>
      <c r="K15" s="4">
        <v>0</v>
      </c>
      <c r="L15" s="4">
        <v>59.132672012984436</v>
      </c>
      <c r="M15" s="4">
        <v>4.8963880085999252</v>
      </c>
      <c r="N15" s="4">
        <v>0</v>
      </c>
      <c r="O15" s="4">
        <v>0</v>
      </c>
      <c r="P15" s="4">
        <v>0</v>
      </c>
      <c r="Q15" s="4">
        <v>2.3499119294685014</v>
      </c>
      <c r="R15" s="4">
        <v>0.71078766572215246</v>
      </c>
      <c r="S15" s="4">
        <v>0</v>
      </c>
      <c r="T15" s="4">
        <v>38.369953619903441</v>
      </c>
      <c r="U15" s="4">
        <v>23.861319738916094</v>
      </c>
      <c r="V15" s="4">
        <v>16.583722786216828</v>
      </c>
      <c r="W15" s="4">
        <v>2.9584730023272638</v>
      </c>
      <c r="X15" s="4">
        <v>2.4237082100184275</v>
      </c>
      <c r="Y15" s="4">
        <v>0</v>
      </c>
      <c r="Z15" s="4">
        <v>25.649561659706094</v>
      </c>
      <c r="AA15" s="4">
        <v>3.1476036069290263</v>
      </c>
      <c r="AB15" s="4">
        <v>28.879138446327744</v>
      </c>
      <c r="AC15" s="4">
        <v>0</v>
      </c>
      <c r="AD15" s="4">
        <v>44.730630545851696</v>
      </c>
      <c r="AE15" s="4">
        <v>67.390958232067675</v>
      </c>
      <c r="AF15" s="4">
        <v>6.608751124299304</v>
      </c>
      <c r="AG15" s="4">
        <v>1.4156477910890486</v>
      </c>
      <c r="AH15" s="4">
        <v>10.298831158114906</v>
      </c>
      <c r="AI15" s="4">
        <v>0</v>
      </c>
      <c r="AJ15" s="4">
        <v>0</v>
      </c>
      <c r="AK15" s="4">
        <v>11.594811561492865</v>
      </c>
      <c r="AL15" s="4">
        <v>29.998656946647699</v>
      </c>
      <c r="AM15" s="4">
        <v>7.6086142781428387</v>
      </c>
      <c r="AN15" s="4">
        <v>0</v>
      </c>
      <c r="AO15" s="4">
        <v>0</v>
      </c>
      <c r="AP15" s="4">
        <v>0</v>
      </c>
      <c r="AQ15" s="4">
        <v>4.9788132602146788</v>
      </c>
      <c r="AR15" s="4">
        <v>17.31464263246118</v>
      </c>
      <c r="AS15" s="4">
        <v>0</v>
      </c>
      <c r="AT15" s="4">
        <v>9.1622500213858924</v>
      </c>
      <c r="AU15" s="4">
        <v>0</v>
      </c>
      <c r="AV15" s="4">
        <v>92.68152894595282</v>
      </c>
      <c r="AW15" s="4">
        <v>4.2616997485411421</v>
      </c>
      <c r="AX15" s="4">
        <v>27.484216958145645</v>
      </c>
      <c r="AY15" s="4">
        <v>3.5671226203702381E-3</v>
      </c>
      <c r="AZ15" s="4">
        <v>3.1486139590068332</v>
      </c>
      <c r="BA15" s="4">
        <v>0</v>
      </c>
      <c r="BB15" s="4">
        <v>20.541204707127058</v>
      </c>
      <c r="BC15" s="4">
        <v>84.708269616891869</v>
      </c>
      <c r="BD15" s="4">
        <v>0</v>
      </c>
      <c r="BE15" s="4">
        <v>2.0780586851671887</v>
      </c>
      <c r="BF15" s="4">
        <v>12.961554124673928</v>
      </c>
      <c r="BG15" s="4">
        <v>7.6510055337732812</v>
      </c>
      <c r="BH15" s="4">
        <v>6.6681251354852344</v>
      </c>
      <c r="BI15" s="4">
        <v>1.4265952639857151</v>
      </c>
      <c r="BJ15" s="4">
        <v>20.258713414220935</v>
      </c>
      <c r="BK15" s="4">
        <v>59.251932327847399</v>
      </c>
      <c r="BL15" s="4">
        <v>0</v>
      </c>
      <c r="BM15" s="4">
        <v>0</v>
      </c>
      <c r="BN15" s="4">
        <v>0</v>
      </c>
      <c r="BO15" s="4">
        <v>0</v>
      </c>
      <c r="BP15" s="4">
        <v>0</v>
      </c>
      <c r="BQ15" s="4">
        <v>0</v>
      </c>
      <c r="BR15" s="4">
        <v>17.437077996531915</v>
      </c>
      <c r="BS15" s="4">
        <v>3.6742917008900631</v>
      </c>
      <c r="BT15" s="4">
        <v>26.609926197736559</v>
      </c>
      <c r="BU15" s="4">
        <v>93.295809495382642</v>
      </c>
      <c r="BV15" s="4">
        <v>29.02276032651071</v>
      </c>
      <c r="BW15" s="4">
        <v>63.778526140780741</v>
      </c>
      <c r="BX15" s="4">
        <v>0</v>
      </c>
      <c r="BY15" s="4">
        <v>0</v>
      </c>
      <c r="BZ15" s="4">
        <v>0</v>
      </c>
      <c r="CA15" s="4">
        <v>0</v>
      </c>
      <c r="CB15" s="4">
        <v>0</v>
      </c>
      <c r="CC15" s="4">
        <v>0</v>
      </c>
      <c r="CD15" s="4">
        <v>0</v>
      </c>
      <c r="CE15" s="4">
        <v>0</v>
      </c>
      <c r="CF15" s="4">
        <v>6.4087517377813175</v>
      </c>
      <c r="CG15" s="4">
        <v>10.195656007969788</v>
      </c>
      <c r="CH15" s="4">
        <v>1.2536735060180413</v>
      </c>
      <c r="CI15" s="4">
        <v>2.0347071418710723</v>
      </c>
      <c r="CJ15" s="4">
        <v>12.609447938744506</v>
      </c>
      <c r="CK15" s="4">
        <v>9.4298070755373544</v>
      </c>
      <c r="CL15" s="4">
        <v>31.037821748247925</v>
      </c>
      <c r="CM15" s="4">
        <v>7.9250554762801286</v>
      </c>
      <c r="CN15" s="4">
        <v>12.576254401888777</v>
      </c>
      <c r="CO15" s="4">
        <v>0.22142780783571656</v>
      </c>
      <c r="CP15" s="4">
        <v>3.2799621534564594</v>
      </c>
      <c r="CQ15" s="4">
        <v>4.8437048087262182</v>
      </c>
      <c r="CR15" s="4">
        <v>29.577627960386948</v>
      </c>
      <c r="CS15" s="4">
        <v>10.222816316146693</v>
      </c>
      <c r="CT15" s="4">
        <v>17.357752896439777</v>
      </c>
      <c r="CU15" s="4">
        <v>46.933040247436267</v>
      </c>
      <c r="CV15" s="4">
        <v>2.3107358232376161</v>
      </c>
      <c r="CW15" s="4">
        <v>1.9861441166428673</v>
      </c>
      <c r="CX15" s="4">
        <v>4.3257631923565594</v>
      </c>
      <c r="CY15" s="4">
        <v>5.0194950113760992</v>
      </c>
      <c r="CZ15" s="4">
        <v>14.348814114991065</v>
      </c>
      <c r="DA15" s="4">
        <v>7.8426242770553971</v>
      </c>
      <c r="DB15" s="4">
        <v>45.041022505530982</v>
      </c>
      <c r="DC15" s="4">
        <v>9.7270367503827284</v>
      </c>
      <c r="DD15" s="4">
        <v>5.1032737705042059</v>
      </c>
      <c r="DE15" s="4">
        <v>2.5918430110316142</v>
      </c>
      <c r="DF15" s="4">
        <v>6.9211835074587116</v>
      </c>
      <c r="DG15" s="4">
        <v>4.1315774814285895</v>
      </c>
      <c r="DH15" s="4">
        <v>1.8944575033939071</v>
      </c>
      <c r="DI15" s="4">
        <v>0</v>
      </c>
      <c r="DJ15" s="4">
        <v>1.3792702979350944</v>
      </c>
      <c r="DK15" s="4">
        <v>-15.860708369550478</v>
      </c>
      <c r="DL15" s="4">
        <v>0</v>
      </c>
      <c r="DM15" s="4">
        <v>0</v>
      </c>
      <c r="DN15" s="4">
        <v>37.954522680748994</v>
      </c>
      <c r="DO15" s="4">
        <v>3.0934556217765357</v>
      </c>
      <c r="DP15" s="4">
        <v>6.9508276333637804</v>
      </c>
      <c r="DQ15" s="4">
        <v>17.70885046450686</v>
      </c>
      <c r="DR15" s="4">
        <v>10.432582653644292</v>
      </c>
      <c r="DS15" s="4">
        <v>0.10536591943558168</v>
      </c>
      <c r="DT15" s="4">
        <v>0</v>
      </c>
      <c r="DU15" s="4">
        <v>6.4107169602033816</v>
      </c>
      <c r="DV15" s="4">
        <v>30.976306616370938</v>
      </c>
      <c r="DW15" s="4">
        <v>8.5539082113575748</v>
      </c>
      <c r="DX15" s="4">
        <v>1.3241795363123767</v>
      </c>
      <c r="DY15" s="4">
        <v>34.051209718025035</v>
      </c>
      <c r="DZ15" s="4">
        <v>0</v>
      </c>
      <c r="EA15" s="4">
        <v>0</v>
      </c>
      <c r="EB15" s="4">
        <v>0</v>
      </c>
      <c r="EC15" s="4">
        <v>0</v>
      </c>
      <c r="ED15" s="4">
        <v>7.5079210091929891</v>
      </c>
      <c r="EE15" s="4">
        <v>4.5510264253357873</v>
      </c>
      <c r="EF15" s="4">
        <v>3.0281948070411806</v>
      </c>
      <c r="EG15" s="4">
        <v>0</v>
      </c>
      <c r="EH15" s="4">
        <v>7.1325249587333426</v>
      </c>
      <c r="EI15" s="4">
        <v>18.907479024488623</v>
      </c>
      <c r="EJ15" s="4">
        <v>0</v>
      </c>
      <c r="EK15" s="4">
        <v>725.39049420816878</v>
      </c>
      <c r="EL15" s="4">
        <v>0</v>
      </c>
      <c r="EM15" s="4">
        <v>0</v>
      </c>
      <c r="EN15" s="4">
        <v>0</v>
      </c>
      <c r="EO15" s="4">
        <v>0</v>
      </c>
      <c r="EP15" s="4">
        <v>0</v>
      </c>
      <c r="EQ15" s="4">
        <v>0</v>
      </c>
      <c r="ER15" s="4">
        <v>153.6326618293775</v>
      </c>
      <c r="ES15" s="4">
        <v>0</v>
      </c>
      <c r="ET15" s="4">
        <v>0</v>
      </c>
      <c r="EU15" s="4">
        <v>140.70358514080846</v>
      </c>
      <c r="EV15" s="4">
        <v>0</v>
      </c>
      <c r="EW15" s="4">
        <v>47.321166041534113</v>
      </c>
      <c r="EX15" s="4">
        <v>132.73543608167287</v>
      </c>
      <c r="EY15" s="4">
        <v>21.162404266429046</v>
      </c>
      <c r="EZ15" s="4">
        <v>27.527214512985054</v>
      </c>
    </row>
    <row r="16" spans="2:156" ht="29" x14ac:dyDescent="0.35">
      <c r="B16" s="11">
        <v>3</v>
      </c>
      <c r="C16" s="11">
        <v>9</v>
      </c>
      <c r="D16" s="12" t="s">
        <v>181</v>
      </c>
      <c r="E16" s="3" t="s">
        <v>182</v>
      </c>
      <c r="F16" s="6">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c r="BO16" s="4">
        <v>0</v>
      </c>
      <c r="BP16" s="4">
        <v>0</v>
      </c>
      <c r="BQ16" s="4">
        <v>0</v>
      </c>
      <c r="BR16" s="4">
        <v>0</v>
      </c>
      <c r="BS16" s="4">
        <v>0</v>
      </c>
      <c r="BT16" s="4">
        <v>0</v>
      </c>
      <c r="BU16" s="4">
        <v>0</v>
      </c>
      <c r="BV16" s="4">
        <v>0</v>
      </c>
      <c r="BW16" s="4">
        <v>0</v>
      </c>
      <c r="BX16" s="4">
        <v>0</v>
      </c>
      <c r="BY16" s="4">
        <v>0</v>
      </c>
      <c r="BZ16" s="4">
        <v>0</v>
      </c>
      <c r="CA16" s="4">
        <v>0</v>
      </c>
      <c r="CB16" s="4">
        <v>0</v>
      </c>
      <c r="CC16" s="4">
        <v>0</v>
      </c>
      <c r="CD16" s="4">
        <v>0</v>
      </c>
      <c r="CE16" s="4">
        <v>0</v>
      </c>
      <c r="CF16" s="4">
        <v>0</v>
      </c>
      <c r="CG16" s="4">
        <v>0</v>
      </c>
      <c r="CH16" s="4">
        <v>0</v>
      </c>
      <c r="CI16" s="4">
        <v>0</v>
      </c>
      <c r="CJ16" s="4">
        <v>0</v>
      </c>
      <c r="CK16" s="4">
        <v>0</v>
      </c>
      <c r="CL16" s="4">
        <v>0</v>
      </c>
      <c r="CM16" s="4">
        <v>0</v>
      </c>
      <c r="CN16" s="4">
        <v>0</v>
      </c>
      <c r="CO16" s="4">
        <v>0</v>
      </c>
      <c r="CP16" s="4">
        <v>0</v>
      </c>
      <c r="CQ16" s="4">
        <v>0</v>
      </c>
      <c r="CR16" s="4">
        <v>0</v>
      </c>
      <c r="CS16" s="4">
        <v>0</v>
      </c>
      <c r="CT16" s="4">
        <v>0</v>
      </c>
      <c r="CU16" s="4">
        <v>0</v>
      </c>
      <c r="CV16" s="4">
        <v>0</v>
      </c>
      <c r="CW16" s="4">
        <v>0</v>
      </c>
      <c r="CX16" s="4">
        <v>0</v>
      </c>
      <c r="CY16" s="4">
        <v>0</v>
      </c>
      <c r="CZ16" s="4">
        <v>0</v>
      </c>
      <c r="DA16" s="4">
        <v>0</v>
      </c>
      <c r="DB16" s="4">
        <v>0</v>
      </c>
      <c r="DC16" s="4">
        <v>0</v>
      </c>
      <c r="DD16" s="4">
        <v>0</v>
      </c>
      <c r="DE16" s="4">
        <v>0</v>
      </c>
      <c r="DF16" s="4">
        <v>0</v>
      </c>
      <c r="DG16" s="4">
        <v>0</v>
      </c>
      <c r="DH16" s="4">
        <v>0</v>
      </c>
      <c r="DI16" s="4">
        <v>0</v>
      </c>
      <c r="DJ16" s="4">
        <v>0</v>
      </c>
      <c r="DK16" s="4">
        <v>0</v>
      </c>
      <c r="DL16" s="4">
        <v>0</v>
      </c>
      <c r="DM16" s="4">
        <v>0</v>
      </c>
      <c r="DN16" s="4">
        <v>0</v>
      </c>
      <c r="DO16" s="4">
        <v>0</v>
      </c>
      <c r="DP16" s="4">
        <v>0</v>
      </c>
      <c r="DQ16" s="4">
        <v>0</v>
      </c>
      <c r="DR16" s="4">
        <v>0</v>
      </c>
      <c r="DS16" s="4">
        <v>0</v>
      </c>
      <c r="DT16" s="4">
        <v>0</v>
      </c>
      <c r="DU16" s="4">
        <v>0</v>
      </c>
      <c r="DV16" s="4">
        <v>0</v>
      </c>
      <c r="DW16" s="4">
        <v>0</v>
      </c>
      <c r="DX16" s="4">
        <v>0</v>
      </c>
      <c r="DY16" s="4">
        <v>0</v>
      </c>
      <c r="DZ16" s="4">
        <v>0</v>
      </c>
      <c r="EA16" s="4">
        <v>0</v>
      </c>
      <c r="EB16" s="4">
        <v>0</v>
      </c>
      <c r="EC16" s="4">
        <v>0</v>
      </c>
      <c r="ED16" s="4">
        <v>0</v>
      </c>
      <c r="EE16" s="4">
        <v>0</v>
      </c>
      <c r="EF16" s="4">
        <v>0</v>
      </c>
      <c r="EG16" s="4">
        <v>0</v>
      </c>
      <c r="EH16" s="4">
        <v>0</v>
      </c>
      <c r="EI16" s="4">
        <v>0</v>
      </c>
      <c r="EJ16" s="4">
        <v>0</v>
      </c>
      <c r="EK16" s="4">
        <v>0</v>
      </c>
      <c r="EL16" s="4">
        <v>0</v>
      </c>
      <c r="EM16" s="4">
        <v>0</v>
      </c>
      <c r="EN16" s="4">
        <v>0</v>
      </c>
      <c r="EO16" s="4">
        <v>0</v>
      </c>
      <c r="EP16" s="4">
        <v>0</v>
      </c>
      <c r="EQ16" s="4">
        <v>0</v>
      </c>
      <c r="ER16" s="4">
        <v>0</v>
      </c>
      <c r="ES16" s="4">
        <v>0</v>
      </c>
      <c r="ET16" s="4">
        <v>0</v>
      </c>
      <c r="EU16" s="4">
        <v>0</v>
      </c>
      <c r="EV16" s="4">
        <v>0</v>
      </c>
      <c r="EW16" s="4">
        <v>0</v>
      </c>
      <c r="EX16" s="4">
        <v>0</v>
      </c>
      <c r="EY16" s="4">
        <v>0</v>
      </c>
      <c r="EZ16" s="4">
        <v>0</v>
      </c>
    </row>
    <row r="17" spans="2:156" x14ac:dyDescent="0.35">
      <c r="B17" s="11">
        <v>3</v>
      </c>
      <c r="C17" s="11">
        <v>10</v>
      </c>
      <c r="D17" s="12" t="s">
        <v>181</v>
      </c>
      <c r="E17" s="3" t="s">
        <v>183</v>
      </c>
      <c r="F17" s="6">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c r="BO17" s="4">
        <v>0</v>
      </c>
      <c r="BP17" s="4">
        <v>0</v>
      </c>
      <c r="BQ17" s="4">
        <v>0</v>
      </c>
      <c r="BR17" s="4">
        <v>0</v>
      </c>
      <c r="BS17" s="4">
        <v>0</v>
      </c>
      <c r="BT17" s="4">
        <v>0</v>
      </c>
      <c r="BU17" s="4">
        <v>0</v>
      </c>
      <c r="BV17" s="4">
        <v>0</v>
      </c>
      <c r="BW17" s="4">
        <v>0</v>
      </c>
      <c r="BX17" s="4">
        <v>0</v>
      </c>
      <c r="BY17" s="4">
        <v>0</v>
      </c>
      <c r="BZ17" s="4">
        <v>0</v>
      </c>
      <c r="CA17" s="4">
        <v>0</v>
      </c>
      <c r="CB17" s="4">
        <v>0</v>
      </c>
      <c r="CC17" s="4">
        <v>0</v>
      </c>
      <c r="CD17" s="4">
        <v>0</v>
      </c>
      <c r="CE17" s="4">
        <v>0</v>
      </c>
      <c r="CF17" s="4">
        <v>0</v>
      </c>
      <c r="CG17" s="4">
        <v>0</v>
      </c>
      <c r="CH17" s="4">
        <v>0</v>
      </c>
      <c r="CI17" s="4">
        <v>0</v>
      </c>
      <c r="CJ17" s="4">
        <v>0</v>
      </c>
      <c r="CK17" s="4">
        <v>0</v>
      </c>
      <c r="CL17" s="4">
        <v>0</v>
      </c>
      <c r="CM17" s="4">
        <v>0</v>
      </c>
      <c r="CN17" s="4">
        <v>0</v>
      </c>
      <c r="CO17" s="4">
        <v>0</v>
      </c>
      <c r="CP17" s="4">
        <v>0</v>
      </c>
      <c r="CQ17" s="4">
        <v>0</v>
      </c>
      <c r="CR17" s="4">
        <v>0</v>
      </c>
      <c r="CS17" s="4">
        <v>0</v>
      </c>
      <c r="CT17" s="4">
        <v>0</v>
      </c>
      <c r="CU17" s="4">
        <v>0</v>
      </c>
      <c r="CV17" s="4">
        <v>0</v>
      </c>
      <c r="CW17" s="4">
        <v>0</v>
      </c>
      <c r="CX17" s="4">
        <v>0</v>
      </c>
      <c r="CY17" s="4">
        <v>0</v>
      </c>
      <c r="CZ17" s="4">
        <v>0</v>
      </c>
      <c r="DA17" s="4">
        <v>0</v>
      </c>
      <c r="DB17" s="4">
        <v>0</v>
      </c>
      <c r="DC17" s="4">
        <v>0</v>
      </c>
      <c r="DD17" s="4">
        <v>0</v>
      </c>
      <c r="DE17" s="4">
        <v>0</v>
      </c>
      <c r="DF17" s="4">
        <v>0</v>
      </c>
      <c r="DG17" s="4">
        <v>0</v>
      </c>
      <c r="DH17" s="4">
        <v>0</v>
      </c>
      <c r="DI17" s="4">
        <v>0</v>
      </c>
      <c r="DJ17" s="4">
        <v>0</v>
      </c>
      <c r="DK17" s="4">
        <v>0</v>
      </c>
      <c r="DL17" s="4">
        <v>0</v>
      </c>
      <c r="DM17" s="4">
        <v>0</v>
      </c>
      <c r="DN17" s="4">
        <v>0</v>
      </c>
      <c r="DO17" s="4">
        <v>0</v>
      </c>
      <c r="DP17" s="4">
        <v>0</v>
      </c>
      <c r="DQ17" s="4">
        <v>0</v>
      </c>
      <c r="DR17" s="4">
        <v>0</v>
      </c>
      <c r="DS17" s="4">
        <v>0</v>
      </c>
      <c r="DT17" s="4">
        <v>0</v>
      </c>
      <c r="DU17" s="4">
        <v>0</v>
      </c>
      <c r="DV17" s="4">
        <v>0</v>
      </c>
      <c r="DW17" s="4">
        <v>0</v>
      </c>
      <c r="DX17" s="4">
        <v>0</v>
      </c>
      <c r="DY17" s="4">
        <v>0</v>
      </c>
      <c r="DZ17" s="4">
        <v>0</v>
      </c>
      <c r="EA17" s="4">
        <v>0</v>
      </c>
      <c r="EB17" s="4">
        <v>0</v>
      </c>
      <c r="EC17" s="4">
        <v>0</v>
      </c>
      <c r="ED17" s="4">
        <v>0</v>
      </c>
      <c r="EE17" s="4">
        <v>0</v>
      </c>
      <c r="EF17" s="4">
        <v>0</v>
      </c>
      <c r="EG17" s="4">
        <v>0</v>
      </c>
      <c r="EH17" s="4">
        <v>0</v>
      </c>
      <c r="EI17" s="4">
        <v>0</v>
      </c>
      <c r="EJ17" s="4">
        <v>0</v>
      </c>
      <c r="EK17" s="4">
        <v>0</v>
      </c>
      <c r="EL17" s="4">
        <v>0</v>
      </c>
      <c r="EM17" s="4">
        <v>0</v>
      </c>
      <c r="EN17" s="4">
        <v>0</v>
      </c>
      <c r="EO17" s="4">
        <v>0</v>
      </c>
      <c r="EP17" s="4">
        <v>0</v>
      </c>
      <c r="EQ17" s="4">
        <v>0</v>
      </c>
      <c r="ER17" s="4">
        <v>0</v>
      </c>
      <c r="ES17" s="4">
        <v>0</v>
      </c>
      <c r="ET17" s="4">
        <v>0</v>
      </c>
      <c r="EU17" s="4">
        <v>0</v>
      </c>
      <c r="EV17" s="4">
        <v>0</v>
      </c>
      <c r="EW17" s="4">
        <v>0</v>
      </c>
      <c r="EX17" s="4">
        <v>0</v>
      </c>
      <c r="EY17" s="4">
        <v>0</v>
      </c>
      <c r="EZ17" s="4">
        <v>0</v>
      </c>
    </row>
    <row r="18" spans="2:156" x14ac:dyDescent="0.35">
      <c r="B18" s="11">
        <v>3</v>
      </c>
      <c r="C18" s="11">
        <v>11</v>
      </c>
      <c r="D18" s="12" t="s">
        <v>181</v>
      </c>
      <c r="E18" s="3" t="s">
        <v>184</v>
      </c>
      <c r="F18" s="6">
        <v>1722.2300450773316</v>
      </c>
      <c r="G18" s="4">
        <v>0</v>
      </c>
      <c r="H18" s="4">
        <v>0</v>
      </c>
      <c r="I18" s="4">
        <v>836.8489316299864</v>
      </c>
      <c r="J18" s="4">
        <v>0</v>
      </c>
      <c r="K18" s="4">
        <v>0</v>
      </c>
      <c r="L18" s="4">
        <v>0</v>
      </c>
      <c r="M18" s="4">
        <v>0</v>
      </c>
      <c r="N18" s="4">
        <v>0</v>
      </c>
      <c r="O18" s="4">
        <v>0</v>
      </c>
      <c r="P18" s="4">
        <v>0</v>
      </c>
      <c r="Q18" s="4">
        <v>0</v>
      </c>
      <c r="R18" s="4">
        <v>474.82489488603898</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c r="AT18" s="4">
        <v>410.55621856130614</v>
      </c>
      <c r="AU18" s="4">
        <v>0</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c r="BO18" s="4">
        <v>0</v>
      </c>
      <c r="BP18" s="4">
        <v>0</v>
      </c>
      <c r="BQ18" s="4">
        <v>0</v>
      </c>
      <c r="BR18" s="4">
        <v>0</v>
      </c>
      <c r="BS18" s="4">
        <v>0</v>
      </c>
      <c r="BT18" s="4">
        <v>0</v>
      </c>
      <c r="BU18" s="4">
        <v>0</v>
      </c>
      <c r="BV18" s="4">
        <v>0</v>
      </c>
      <c r="BW18" s="4">
        <v>0</v>
      </c>
      <c r="BX18" s="4">
        <v>0</v>
      </c>
      <c r="BY18" s="4">
        <v>0</v>
      </c>
      <c r="BZ18" s="4">
        <v>0</v>
      </c>
      <c r="CA18" s="4">
        <v>0</v>
      </c>
      <c r="CB18" s="4">
        <v>0</v>
      </c>
      <c r="CC18" s="4">
        <v>0</v>
      </c>
      <c r="CD18" s="4">
        <v>0</v>
      </c>
      <c r="CE18" s="4">
        <v>0</v>
      </c>
      <c r="CF18" s="4">
        <v>0</v>
      </c>
      <c r="CG18" s="4">
        <v>0</v>
      </c>
      <c r="CH18" s="4">
        <v>0</v>
      </c>
      <c r="CI18" s="4">
        <v>0</v>
      </c>
      <c r="CJ18" s="4">
        <v>0</v>
      </c>
      <c r="CK18" s="4">
        <v>0</v>
      </c>
      <c r="CL18" s="4">
        <v>0</v>
      </c>
      <c r="CM18" s="4">
        <v>0</v>
      </c>
      <c r="CN18" s="4">
        <v>0</v>
      </c>
      <c r="CO18" s="4">
        <v>0</v>
      </c>
      <c r="CP18" s="4">
        <v>0</v>
      </c>
      <c r="CQ18" s="4">
        <v>0</v>
      </c>
      <c r="CR18" s="4">
        <v>0</v>
      </c>
      <c r="CS18" s="4">
        <v>0</v>
      </c>
      <c r="CT18" s="4">
        <v>0</v>
      </c>
      <c r="CU18" s="4">
        <v>0</v>
      </c>
      <c r="CV18" s="4">
        <v>0</v>
      </c>
      <c r="CW18" s="4">
        <v>0</v>
      </c>
      <c r="CX18" s="4">
        <v>0</v>
      </c>
      <c r="CY18" s="4">
        <v>0</v>
      </c>
      <c r="CZ18" s="4">
        <v>0</v>
      </c>
      <c r="DA18" s="4">
        <v>0</v>
      </c>
      <c r="DB18" s="4">
        <v>0</v>
      </c>
      <c r="DC18" s="4">
        <v>0</v>
      </c>
      <c r="DD18" s="4">
        <v>0</v>
      </c>
      <c r="DE18" s="4">
        <v>0</v>
      </c>
      <c r="DF18" s="4">
        <v>0</v>
      </c>
      <c r="DG18" s="4">
        <v>0</v>
      </c>
      <c r="DH18" s="4">
        <v>0</v>
      </c>
      <c r="DI18" s="4">
        <v>0</v>
      </c>
      <c r="DJ18" s="4">
        <v>0</v>
      </c>
      <c r="DK18" s="4">
        <v>0</v>
      </c>
      <c r="DL18" s="4">
        <v>0</v>
      </c>
      <c r="DM18" s="4">
        <v>0</v>
      </c>
      <c r="DN18" s="4">
        <v>0</v>
      </c>
      <c r="DO18" s="4">
        <v>0</v>
      </c>
      <c r="DP18" s="4">
        <v>0</v>
      </c>
      <c r="DQ18" s="4">
        <v>0</v>
      </c>
      <c r="DR18" s="4">
        <v>0</v>
      </c>
      <c r="DS18" s="4">
        <v>0</v>
      </c>
      <c r="DT18" s="4">
        <v>0</v>
      </c>
      <c r="DU18" s="4">
        <v>0</v>
      </c>
      <c r="DV18" s="4">
        <v>0</v>
      </c>
      <c r="DW18" s="4">
        <v>0</v>
      </c>
      <c r="DX18" s="4">
        <v>0</v>
      </c>
      <c r="DY18" s="4">
        <v>0</v>
      </c>
      <c r="DZ18" s="4">
        <v>0</v>
      </c>
      <c r="EA18" s="4">
        <v>0</v>
      </c>
      <c r="EB18" s="4">
        <v>0</v>
      </c>
      <c r="EC18" s="4">
        <v>0</v>
      </c>
      <c r="ED18" s="4">
        <v>0</v>
      </c>
      <c r="EE18" s="4">
        <v>0</v>
      </c>
      <c r="EF18" s="4">
        <v>0</v>
      </c>
      <c r="EG18" s="4">
        <v>0</v>
      </c>
      <c r="EH18" s="4">
        <v>0</v>
      </c>
      <c r="EI18" s="4">
        <v>0</v>
      </c>
      <c r="EJ18" s="4">
        <v>0</v>
      </c>
      <c r="EK18" s="4">
        <v>0</v>
      </c>
      <c r="EL18" s="4">
        <v>0</v>
      </c>
      <c r="EM18" s="4">
        <v>0</v>
      </c>
      <c r="EN18" s="4">
        <v>0</v>
      </c>
      <c r="EO18" s="4">
        <v>0</v>
      </c>
      <c r="EP18" s="4">
        <v>0</v>
      </c>
      <c r="EQ18" s="4">
        <v>0</v>
      </c>
      <c r="ER18" s="4">
        <v>0</v>
      </c>
      <c r="ES18" s="4">
        <v>0</v>
      </c>
      <c r="ET18" s="4">
        <v>0</v>
      </c>
      <c r="EU18" s="4">
        <v>0</v>
      </c>
      <c r="EV18" s="4">
        <v>0</v>
      </c>
      <c r="EW18" s="4">
        <v>0</v>
      </c>
      <c r="EX18" s="4">
        <v>0</v>
      </c>
      <c r="EY18" s="4">
        <v>0</v>
      </c>
      <c r="EZ18" s="4">
        <v>0</v>
      </c>
    </row>
    <row r="19" spans="2:156" ht="29" x14ac:dyDescent="0.35">
      <c r="B19" s="11">
        <v>3</v>
      </c>
      <c r="C19" s="11">
        <v>12</v>
      </c>
      <c r="D19" s="12" t="s">
        <v>181</v>
      </c>
      <c r="E19" s="3" t="s">
        <v>185</v>
      </c>
      <c r="F19" s="6">
        <v>93.945599393436993</v>
      </c>
      <c r="G19" s="4">
        <v>0</v>
      </c>
      <c r="H19" s="4">
        <v>0.57680054310781681</v>
      </c>
      <c r="I19" s="4">
        <v>1.2306791308426737</v>
      </c>
      <c r="J19" s="4">
        <v>5.5576556276408833E-2</v>
      </c>
      <c r="K19" s="4">
        <v>0</v>
      </c>
      <c r="L19" s="4">
        <v>0.59764383197909932</v>
      </c>
      <c r="M19" s="4">
        <v>0.30783729950925731</v>
      </c>
      <c r="N19" s="4">
        <v>0</v>
      </c>
      <c r="O19" s="4">
        <v>0</v>
      </c>
      <c r="P19" s="4">
        <v>0</v>
      </c>
      <c r="Q19" s="4">
        <v>0</v>
      </c>
      <c r="R19" s="4">
        <v>1.8449892427815451</v>
      </c>
      <c r="S19" s="4">
        <v>0</v>
      </c>
      <c r="T19" s="4">
        <v>2.9194981240379847</v>
      </c>
      <c r="U19" s="4">
        <v>0.84914507805319162</v>
      </c>
      <c r="V19" s="4">
        <v>0.40394729026478493</v>
      </c>
      <c r="W19" s="4">
        <v>0</v>
      </c>
      <c r="X19" s="4">
        <v>8.9170695690053061E-3</v>
      </c>
      <c r="Y19" s="4">
        <v>0</v>
      </c>
      <c r="Z19" s="4">
        <v>1.5339452416248234</v>
      </c>
      <c r="AA19" s="4">
        <v>0.11418294742359023</v>
      </c>
      <c r="AB19" s="4">
        <v>0.70097798749022278</v>
      </c>
      <c r="AC19" s="4">
        <v>0</v>
      </c>
      <c r="AD19" s="4">
        <v>0.72643772365410109</v>
      </c>
      <c r="AE19" s="4">
        <v>2.5317581360562902</v>
      </c>
      <c r="AF19" s="4">
        <v>0.23304537986188278</v>
      </c>
      <c r="AG19" s="4">
        <v>0.25322446934193049</v>
      </c>
      <c r="AH19" s="4">
        <v>0.17025711558895076</v>
      </c>
      <c r="AI19" s="4">
        <v>0</v>
      </c>
      <c r="AJ19" s="4">
        <v>0</v>
      </c>
      <c r="AK19" s="4">
        <v>1.3172159816990101</v>
      </c>
      <c r="AL19" s="4">
        <v>0.86566083274794225</v>
      </c>
      <c r="AM19" s="4">
        <v>2.9371859802733574E-2</v>
      </c>
      <c r="AN19" s="4">
        <v>0</v>
      </c>
      <c r="AO19" s="4">
        <v>0</v>
      </c>
      <c r="AP19" s="4">
        <v>0</v>
      </c>
      <c r="AQ19" s="4">
        <v>0.14225296848003113</v>
      </c>
      <c r="AR19" s="4">
        <v>0</v>
      </c>
      <c r="AS19" s="4">
        <v>0.28026265662229238</v>
      </c>
      <c r="AT19" s="4">
        <v>3.6699654365240274E-2</v>
      </c>
      <c r="AU19" s="4">
        <v>1.6949374706768854E-3</v>
      </c>
      <c r="AV19" s="4">
        <v>3.4470017228351484</v>
      </c>
      <c r="AW19" s="4">
        <v>7.2060915246751581E-2</v>
      </c>
      <c r="AX19" s="4">
        <v>0.47045653418950562</v>
      </c>
      <c r="AY19" s="4">
        <v>0</v>
      </c>
      <c r="AZ19" s="4">
        <v>0.15256590261648531</v>
      </c>
      <c r="BA19" s="4">
        <v>0</v>
      </c>
      <c r="BB19" s="4">
        <v>0.21202721709744585</v>
      </c>
      <c r="BC19" s="4">
        <v>1.0599383793303492</v>
      </c>
      <c r="BD19" s="4">
        <v>0</v>
      </c>
      <c r="BE19" s="4">
        <v>0</v>
      </c>
      <c r="BF19" s="4">
        <v>1.1286791793506759</v>
      </c>
      <c r="BG19" s="4">
        <v>1.1120936793751335</v>
      </c>
      <c r="BH19" s="4">
        <v>1.2102973073286201E-2</v>
      </c>
      <c r="BI19" s="4">
        <v>0</v>
      </c>
      <c r="BJ19" s="4">
        <v>0</v>
      </c>
      <c r="BK19" s="4">
        <v>2.2239286402083227</v>
      </c>
      <c r="BL19" s="4">
        <v>0</v>
      </c>
      <c r="BM19" s="4">
        <v>0</v>
      </c>
      <c r="BN19" s="4">
        <v>0</v>
      </c>
      <c r="BO19" s="4">
        <v>0</v>
      </c>
      <c r="BP19" s="4">
        <v>0</v>
      </c>
      <c r="BQ19" s="4">
        <v>0.45843989578833577</v>
      </c>
      <c r="BR19" s="4">
        <v>0.72724682277429198</v>
      </c>
      <c r="BS19" s="4">
        <v>0.51792516900399899</v>
      </c>
      <c r="BT19" s="4">
        <v>2.6303222148359615</v>
      </c>
      <c r="BU19" s="4">
        <v>2.1598601474623718</v>
      </c>
      <c r="BV19" s="4">
        <v>1.6570273391449384</v>
      </c>
      <c r="BW19" s="4">
        <v>0</v>
      </c>
      <c r="BX19" s="4">
        <v>0</v>
      </c>
      <c r="BY19" s="4">
        <v>0</v>
      </c>
      <c r="BZ19" s="4">
        <v>0</v>
      </c>
      <c r="CA19" s="4">
        <v>0</v>
      </c>
      <c r="CB19" s="4">
        <v>0</v>
      </c>
      <c r="CC19" s="4">
        <v>0</v>
      </c>
      <c r="CD19" s="4">
        <v>0</v>
      </c>
      <c r="CE19" s="4">
        <v>0</v>
      </c>
      <c r="CF19" s="4">
        <v>8.7382212614458832E-2</v>
      </c>
      <c r="CG19" s="4">
        <v>0</v>
      </c>
      <c r="CH19" s="4">
        <v>0</v>
      </c>
      <c r="CI19" s="4">
        <v>0</v>
      </c>
      <c r="CJ19" s="4">
        <v>0</v>
      </c>
      <c r="CK19" s="4">
        <v>0</v>
      </c>
      <c r="CL19" s="4">
        <v>0.34890303173381515</v>
      </c>
      <c r="CM19" s="4">
        <v>0.26315269493101878</v>
      </c>
      <c r="CN19" s="4">
        <v>0</v>
      </c>
      <c r="CO19" s="4">
        <v>4.0601962119564683E-2</v>
      </c>
      <c r="CP19" s="4">
        <v>0</v>
      </c>
      <c r="CQ19" s="4">
        <v>0</v>
      </c>
      <c r="CR19" s="4">
        <v>0</v>
      </c>
      <c r="CS19" s="4">
        <v>0</v>
      </c>
      <c r="CT19" s="4">
        <v>0</v>
      </c>
      <c r="CU19" s="4">
        <v>0</v>
      </c>
      <c r="CV19" s="4">
        <v>0</v>
      </c>
      <c r="CW19" s="4">
        <v>0</v>
      </c>
      <c r="CX19" s="4">
        <v>0</v>
      </c>
      <c r="CY19" s="4">
        <v>2.0078676127978447E-2</v>
      </c>
      <c r="CZ19" s="4">
        <v>0</v>
      </c>
      <c r="DA19" s="4">
        <v>0</v>
      </c>
      <c r="DB19" s="4">
        <v>0</v>
      </c>
      <c r="DC19" s="4">
        <v>0</v>
      </c>
      <c r="DD19" s="4">
        <v>0</v>
      </c>
      <c r="DE19" s="4">
        <v>2.8248761848132599E-5</v>
      </c>
      <c r="DF19" s="4">
        <v>0</v>
      </c>
      <c r="DG19" s="4">
        <v>0</v>
      </c>
      <c r="DH19" s="4">
        <v>9.8646204752512335E-3</v>
      </c>
      <c r="DI19" s="4">
        <v>0.39246295706125983</v>
      </c>
      <c r="DJ19" s="4">
        <v>0</v>
      </c>
      <c r="DK19" s="4">
        <v>0</v>
      </c>
      <c r="DL19" s="4">
        <v>0</v>
      </c>
      <c r="DM19" s="4">
        <v>0</v>
      </c>
      <c r="DN19" s="4">
        <v>1.5902825018696667</v>
      </c>
      <c r="DO19" s="4">
        <v>8.1742556252025353E-2</v>
      </c>
      <c r="DP19" s="4">
        <v>1.8774294276705898E-2</v>
      </c>
      <c r="DQ19" s="4">
        <v>0.35116620886943045</v>
      </c>
      <c r="DR19" s="4">
        <v>0</v>
      </c>
      <c r="DS19" s="4">
        <v>0</v>
      </c>
      <c r="DT19" s="4">
        <v>0</v>
      </c>
      <c r="DU19" s="4">
        <v>0</v>
      </c>
      <c r="DV19" s="4">
        <v>0</v>
      </c>
      <c r="DW19" s="4">
        <v>0</v>
      </c>
      <c r="DX19" s="4">
        <v>0.23311611857047645</v>
      </c>
      <c r="DY19" s="4">
        <v>0.42843671584901538</v>
      </c>
      <c r="DZ19" s="4">
        <v>0</v>
      </c>
      <c r="EA19" s="4">
        <v>0</v>
      </c>
      <c r="EB19" s="4">
        <v>0</v>
      </c>
      <c r="EC19" s="4">
        <v>0</v>
      </c>
      <c r="ED19" s="4">
        <v>3.4041722536747726E-4</v>
      </c>
      <c r="EE19" s="4">
        <v>0</v>
      </c>
      <c r="EF19" s="4">
        <v>0</v>
      </c>
      <c r="EG19" s="4">
        <v>0</v>
      </c>
      <c r="EH19" s="4">
        <v>9.2409843097138442E-2</v>
      </c>
      <c r="EI19" s="4">
        <v>0.4176581953460291</v>
      </c>
      <c r="EJ19" s="4">
        <v>0</v>
      </c>
      <c r="EK19" s="4">
        <v>35.090592152865256</v>
      </c>
      <c r="EL19" s="4">
        <v>0</v>
      </c>
      <c r="EM19" s="4">
        <v>0</v>
      </c>
      <c r="EN19" s="4">
        <v>0</v>
      </c>
      <c r="EO19" s="4">
        <v>0</v>
      </c>
      <c r="EP19" s="4">
        <v>0</v>
      </c>
      <c r="EQ19" s="4">
        <v>0</v>
      </c>
      <c r="ER19" s="4">
        <v>0.99872010895125274</v>
      </c>
      <c r="ES19" s="4">
        <v>4.5196827651833908E-2</v>
      </c>
      <c r="ET19" s="4">
        <v>0</v>
      </c>
      <c r="EU19" s="4">
        <v>15.647099066026467</v>
      </c>
      <c r="EV19" s="4">
        <v>0</v>
      </c>
      <c r="EW19" s="4">
        <v>1.7640912866577489</v>
      </c>
      <c r="EX19" s="4">
        <v>1.4949718968971935</v>
      </c>
      <c r="EY19" s="4">
        <v>0</v>
      </c>
      <c r="EZ19" s="4">
        <v>0</v>
      </c>
    </row>
    <row r="20" spans="2:156" x14ac:dyDescent="0.35">
      <c r="B20" s="11">
        <v>3</v>
      </c>
      <c r="C20" s="11">
        <v>13</v>
      </c>
      <c r="D20" s="12" t="s">
        <v>181</v>
      </c>
      <c r="E20" s="3" t="s">
        <v>186</v>
      </c>
      <c r="F20" s="6">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c r="BO20" s="4">
        <v>0</v>
      </c>
      <c r="BP20" s="4">
        <v>0</v>
      </c>
      <c r="BQ20" s="4">
        <v>0</v>
      </c>
      <c r="BR20" s="4">
        <v>0</v>
      </c>
      <c r="BS20" s="4">
        <v>0</v>
      </c>
      <c r="BT20" s="4">
        <v>0</v>
      </c>
      <c r="BU20" s="4">
        <v>0</v>
      </c>
      <c r="BV20" s="4">
        <v>0</v>
      </c>
      <c r="BW20" s="4">
        <v>0</v>
      </c>
      <c r="BX20" s="4">
        <v>0</v>
      </c>
      <c r="BY20" s="4">
        <v>0</v>
      </c>
      <c r="BZ20" s="4">
        <v>0</v>
      </c>
      <c r="CA20" s="4">
        <v>0</v>
      </c>
      <c r="CB20" s="4">
        <v>0</v>
      </c>
      <c r="CC20" s="4">
        <v>0</v>
      </c>
      <c r="CD20" s="4">
        <v>0</v>
      </c>
      <c r="CE20" s="4">
        <v>0</v>
      </c>
      <c r="CF20" s="4">
        <v>0</v>
      </c>
      <c r="CG20" s="4">
        <v>0</v>
      </c>
      <c r="CH20" s="4">
        <v>0</v>
      </c>
      <c r="CI20" s="4">
        <v>0</v>
      </c>
      <c r="CJ20" s="4">
        <v>0</v>
      </c>
      <c r="CK20" s="4">
        <v>0</v>
      </c>
      <c r="CL20" s="4">
        <v>0</v>
      </c>
      <c r="CM20" s="4">
        <v>0</v>
      </c>
      <c r="CN20" s="4">
        <v>0</v>
      </c>
      <c r="CO20" s="4">
        <v>0</v>
      </c>
      <c r="CP20" s="4">
        <v>0</v>
      </c>
      <c r="CQ20" s="4">
        <v>0</v>
      </c>
      <c r="CR20" s="4">
        <v>0</v>
      </c>
      <c r="CS20" s="4">
        <v>0</v>
      </c>
      <c r="CT20" s="4">
        <v>0</v>
      </c>
      <c r="CU20" s="4">
        <v>0</v>
      </c>
      <c r="CV20" s="4">
        <v>0</v>
      </c>
      <c r="CW20" s="4">
        <v>0</v>
      </c>
      <c r="CX20" s="4">
        <v>0</v>
      </c>
      <c r="CY20" s="4">
        <v>0</v>
      </c>
      <c r="CZ20" s="4">
        <v>0</v>
      </c>
      <c r="DA20" s="4">
        <v>0</v>
      </c>
      <c r="DB20" s="4">
        <v>0</v>
      </c>
      <c r="DC20" s="4">
        <v>0</v>
      </c>
      <c r="DD20" s="4">
        <v>0</v>
      </c>
      <c r="DE20" s="4">
        <v>0</v>
      </c>
      <c r="DF20" s="4">
        <v>0</v>
      </c>
      <c r="DG20" s="4">
        <v>0</v>
      </c>
      <c r="DH20" s="4">
        <v>0</v>
      </c>
      <c r="DI20" s="4">
        <v>0</v>
      </c>
      <c r="DJ20" s="4">
        <v>0</v>
      </c>
      <c r="DK20" s="4">
        <v>0</v>
      </c>
      <c r="DL20" s="4">
        <v>0</v>
      </c>
      <c r="DM20" s="4">
        <v>0</v>
      </c>
      <c r="DN20" s="4">
        <v>0</v>
      </c>
      <c r="DO20" s="4">
        <v>0</v>
      </c>
      <c r="DP20" s="4">
        <v>0</v>
      </c>
      <c r="DQ20" s="4">
        <v>0</v>
      </c>
      <c r="DR20" s="4">
        <v>0</v>
      </c>
      <c r="DS20" s="4">
        <v>0</v>
      </c>
      <c r="DT20" s="4">
        <v>0</v>
      </c>
      <c r="DU20" s="4">
        <v>0</v>
      </c>
      <c r="DV20" s="4">
        <v>0</v>
      </c>
      <c r="DW20" s="4">
        <v>0</v>
      </c>
      <c r="DX20" s="4">
        <v>0</v>
      </c>
      <c r="DY20" s="4">
        <v>0</v>
      </c>
      <c r="DZ20" s="4">
        <v>0</v>
      </c>
      <c r="EA20" s="4">
        <v>0</v>
      </c>
      <c r="EB20" s="4">
        <v>0</v>
      </c>
      <c r="EC20" s="4">
        <v>0</v>
      </c>
      <c r="ED20" s="4">
        <v>0</v>
      </c>
      <c r="EE20" s="4">
        <v>0</v>
      </c>
      <c r="EF20" s="4">
        <v>0</v>
      </c>
      <c r="EG20" s="4">
        <v>0</v>
      </c>
      <c r="EH20" s="4">
        <v>0</v>
      </c>
      <c r="EI20" s="4">
        <v>0</v>
      </c>
      <c r="EJ20" s="4">
        <v>0</v>
      </c>
      <c r="EK20" s="4">
        <v>0</v>
      </c>
      <c r="EL20" s="4">
        <v>0</v>
      </c>
      <c r="EM20" s="4">
        <v>0</v>
      </c>
      <c r="EN20" s="4">
        <v>0</v>
      </c>
      <c r="EO20" s="4">
        <v>0</v>
      </c>
      <c r="EP20" s="4">
        <v>0</v>
      </c>
      <c r="EQ20" s="4">
        <v>0</v>
      </c>
      <c r="ER20" s="4">
        <v>0</v>
      </c>
      <c r="ES20" s="4">
        <v>0</v>
      </c>
      <c r="ET20" s="4">
        <v>0</v>
      </c>
      <c r="EU20" s="4">
        <v>0</v>
      </c>
      <c r="EV20" s="4">
        <v>0</v>
      </c>
      <c r="EW20" s="4">
        <v>0</v>
      </c>
      <c r="EX20" s="4">
        <v>0</v>
      </c>
      <c r="EY20" s="4">
        <v>0</v>
      </c>
      <c r="EZ20" s="4">
        <v>0</v>
      </c>
    </row>
    <row r="21" spans="2:156" x14ac:dyDescent="0.35">
      <c r="B21" s="11">
        <v>3</v>
      </c>
      <c r="C21" s="11">
        <v>14</v>
      </c>
      <c r="D21" s="12" t="s">
        <v>181</v>
      </c>
      <c r="E21" s="3" t="s">
        <v>187</v>
      </c>
      <c r="F21" s="6">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4">
        <v>0</v>
      </c>
      <c r="BF21" s="4">
        <v>0</v>
      </c>
      <c r="BG21" s="4">
        <v>0</v>
      </c>
      <c r="BH21" s="4">
        <v>0</v>
      </c>
      <c r="BI21" s="4">
        <v>0</v>
      </c>
      <c r="BJ21" s="4">
        <v>0</v>
      </c>
      <c r="BK21" s="4">
        <v>0</v>
      </c>
      <c r="BL21" s="4">
        <v>0</v>
      </c>
      <c r="BM21" s="4">
        <v>0</v>
      </c>
      <c r="BN21" s="4">
        <v>0</v>
      </c>
      <c r="BO21" s="4">
        <v>0</v>
      </c>
      <c r="BP21" s="4">
        <v>0</v>
      </c>
      <c r="BQ21" s="4">
        <v>0</v>
      </c>
      <c r="BR21" s="4">
        <v>0</v>
      </c>
      <c r="BS21" s="4">
        <v>0</v>
      </c>
      <c r="BT21" s="4">
        <v>0</v>
      </c>
      <c r="BU21" s="4">
        <v>0</v>
      </c>
      <c r="BV21" s="4">
        <v>0</v>
      </c>
      <c r="BW21" s="4">
        <v>0</v>
      </c>
      <c r="BX21" s="4">
        <v>0</v>
      </c>
      <c r="BY21" s="4">
        <v>0</v>
      </c>
      <c r="BZ21" s="4">
        <v>0</v>
      </c>
      <c r="CA21" s="4">
        <v>0</v>
      </c>
      <c r="CB21" s="4">
        <v>0</v>
      </c>
      <c r="CC21" s="4">
        <v>0</v>
      </c>
      <c r="CD21" s="4">
        <v>0</v>
      </c>
      <c r="CE21" s="4">
        <v>0</v>
      </c>
      <c r="CF21" s="4">
        <v>0</v>
      </c>
      <c r="CG21" s="4">
        <v>0</v>
      </c>
      <c r="CH21" s="4">
        <v>0</v>
      </c>
      <c r="CI21" s="4">
        <v>0</v>
      </c>
      <c r="CJ21" s="4">
        <v>0</v>
      </c>
      <c r="CK21" s="4">
        <v>0</v>
      </c>
      <c r="CL21" s="4">
        <v>0</v>
      </c>
      <c r="CM21" s="4">
        <v>0</v>
      </c>
      <c r="CN21" s="4">
        <v>0</v>
      </c>
      <c r="CO21" s="4">
        <v>0</v>
      </c>
      <c r="CP21" s="4">
        <v>0</v>
      </c>
      <c r="CQ21" s="4">
        <v>0</v>
      </c>
      <c r="CR21" s="4">
        <v>0</v>
      </c>
      <c r="CS21" s="4">
        <v>0</v>
      </c>
      <c r="CT21" s="4">
        <v>0</v>
      </c>
      <c r="CU21" s="4">
        <v>0</v>
      </c>
      <c r="CV21" s="4">
        <v>0</v>
      </c>
      <c r="CW21" s="4">
        <v>0</v>
      </c>
      <c r="CX21" s="4">
        <v>0</v>
      </c>
      <c r="CY21" s="4">
        <v>0</v>
      </c>
      <c r="CZ21" s="4">
        <v>0</v>
      </c>
      <c r="DA21" s="4">
        <v>0</v>
      </c>
      <c r="DB21" s="4">
        <v>0</v>
      </c>
      <c r="DC21" s="4">
        <v>0</v>
      </c>
      <c r="DD21" s="4">
        <v>0</v>
      </c>
      <c r="DE21" s="4">
        <v>0</v>
      </c>
      <c r="DF21" s="4">
        <v>0</v>
      </c>
      <c r="DG21" s="4">
        <v>0</v>
      </c>
      <c r="DH21" s="4">
        <v>0</v>
      </c>
      <c r="DI21" s="4">
        <v>0</v>
      </c>
      <c r="DJ21" s="4">
        <v>0</v>
      </c>
      <c r="DK21" s="4">
        <v>0</v>
      </c>
      <c r="DL21" s="4">
        <v>0</v>
      </c>
      <c r="DM21" s="4">
        <v>0</v>
      </c>
      <c r="DN21" s="4">
        <v>0</v>
      </c>
      <c r="DO21" s="4">
        <v>0</v>
      </c>
      <c r="DP21" s="4">
        <v>0</v>
      </c>
      <c r="DQ21" s="4">
        <v>0</v>
      </c>
      <c r="DR21" s="4">
        <v>0</v>
      </c>
      <c r="DS21" s="4">
        <v>0</v>
      </c>
      <c r="DT21" s="4">
        <v>0</v>
      </c>
      <c r="DU21" s="4">
        <v>0</v>
      </c>
      <c r="DV21" s="4">
        <v>0</v>
      </c>
      <c r="DW21" s="4">
        <v>0</v>
      </c>
      <c r="DX21" s="4">
        <v>0</v>
      </c>
      <c r="DY21" s="4">
        <v>0</v>
      </c>
      <c r="DZ21" s="4">
        <v>0</v>
      </c>
      <c r="EA21" s="4">
        <v>0</v>
      </c>
      <c r="EB21" s="4">
        <v>0</v>
      </c>
      <c r="EC21" s="4">
        <v>0</v>
      </c>
      <c r="ED21" s="4">
        <v>0</v>
      </c>
      <c r="EE21" s="4">
        <v>0</v>
      </c>
      <c r="EF21" s="4">
        <v>0</v>
      </c>
      <c r="EG21" s="4">
        <v>0</v>
      </c>
      <c r="EH21" s="4">
        <v>0</v>
      </c>
      <c r="EI21" s="4">
        <v>0</v>
      </c>
      <c r="EJ21" s="4">
        <v>0</v>
      </c>
      <c r="EK21" s="4">
        <v>0</v>
      </c>
      <c r="EL21" s="4">
        <v>0</v>
      </c>
      <c r="EM21" s="4">
        <v>0</v>
      </c>
      <c r="EN21" s="4">
        <v>0</v>
      </c>
      <c r="EO21" s="4">
        <v>0</v>
      </c>
      <c r="EP21" s="4">
        <v>0</v>
      </c>
      <c r="EQ21" s="4">
        <v>0</v>
      </c>
      <c r="ER21" s="4">
        <v>0</v>
      </c>
      <c r="ES21" s="4">
        <v>0</v>
      </c>
      <c r="ET21" s="4">
        <v>0</v>
      </c>
      <c r="EU21" s="4">
        <v>0</v>
      </c>
      <c r="EV21" s="4">
        <v>0</v>
      </c>
      <c r="EW21" s="4">
        <v>0</v>
      </c>
      <c r="EX21" s="4">
        <v>0</v>
      </c>
      <c r="EY21" s="4">
        <v>0</v>
      </c>
      <c r="EZ21" s="4">
        <v>0</v>
      </c>
    </row>
    <row r="22" spans="2:156" x14ac:dyDescent="0.35">
      <c r="B22" s="12">
        <v>3</v>
      </c>
      <c r="C22" s="12">
        <v>15</v>
      </c>
      <c r="D22" s="12" t="s">
        <v>181</v>
      </c>
      <c r="E22" s="13" t="s">
        <v>188</v>
      </c>
      <c r="F22" s="6">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4">
        <v>0</v>
      </c>
      <c r="BF22" s="4">
        <v>0</v>
      </c>
      <c r="BG22" s="4">
        <v>0</v>
      </c>
      <c r="BH22" s="4">
        <v>0</v>
      </c>
      <c r="BI22" s="4">
        <v>0</v>
      </c>
      <c r="BJ22" s="4">
        <v>0</v>
      </c>
      <c r="BK22" s="4">
        <v>0</v>
      </c>
      <c r="BL22" s="4">
        <v>0</v>
      </c>
      <c r="BM22" s="4">
        <v>0</v>
      </c>
      <c r="BN22" s="4">
        <v>0</v>
      </c>
      <c r="BO22" s="4">
        <v>0</v>
      </c>
      <c r="BP22" s="4">
        <v>0</v>
      </c>
      <c r="BQ22" s="4">
        <v>0</v>
      </c>
      <c r="BR22" s="4">
        <v>0</v>
      </c>
      <c r="BS22" s="4">
        <v>0</v>
      </c>
      <c r="BT22" s="4">
        <v>0</v>
      </c>
      <c r="BU22" s="4">
        <v>0</v>
      </c>
      <c r="BV22" s="4">
        <v>0</v>
      </c>
      <c r="BW22" s="4">
        <v>0</v>
      </c>
      <c r="BX22" s="4">
        <v>0</v>
      </c>
      <c r="BY22" s="4">
        <v>0</v>
      </c>
      <c r="BZ22" s="4">
        <v>0</v>
      </c>
      <c r="CA22" s="4">
        <v>0</v>
      </c>
      <c r="CB22" s="4">
        <v>0</v>
      </c>
      <c r="CC22" s="4">
        <v>0</v>
      </c>
      <c r="CD22" s="4">
        <v>0</v>
      </c>
      <c r="CE22" s="4">
        <v>0</v>
      </c>
      <c r="CF22" s="4">
        <v>0</v>
      </c>
      <c r="CG22" s="4">
        <v>0</v>
      </c>
      <c r="CH22" s="4">
        <v>0</v>
      </c>
      <c r="CI22" s="4">
        <v>0</v>
      </c>
      <c r="CJ22" s="4">
        <v>0</v>
      </c>
      <c r="CK22" s="4">
        <v>0</v>
      </c>
      <c r="CL22" s="4">
        <v>0</v>
      </c>
      <c r="CM22" s="4">
        <v>0</v>
      </c>
      <c r="CN22" s="4">
        <v>0</v>
      </c>
      <c r="CO22" s="4">
        <v>0</v>
      </c>
      <c r="CP22" s="4">
        <v>0</v>
      </c>
      <c r="CQ22" s="4">
        <v>0</v>
      </c>
      <c r="CR22" s="4">
        <v>0</v>
      </c>
      <c r="CS22" s="4">
        <v>0</v>
      </c>
      <c r="CT22" s="4">
        <v>0</v>
      </c>
      <c r="CU22" s="4">
        <v>0</v>
      </c>
      <c r="CV22" s="4">
        <v>0</v>
      </c>
      <c r="CW22" s="4">
        <v>0</v>
      </c>
      <c r="CX22" s="4">
        <v>0</v>
      </c>
      <c r="CY22" s="4">
        <v>0</v>
      </c>
      <c r="CZ22" s="4">
        <v>0</v>
      </c>
      <c r="DA22" s="4">
        <v>0</v>
      </c>
      <c r="DB22" s="4">
        <v>0</v>
      </c>
      <c r="DC22" s="4">
        <v>0</v>
      </c>
      <c r="DD22" s="4">
        <v>0</v>
      </c>
      <c r="DE22" s="4">
        <v>0</v>
      </c>
      <c r="DF22" s="4">
        <v>0</v>
      </c>
      <c r="DG22" s="4">
        <v>0</v>
      </c>
      <c r="DH22" s="4">
        <v>0</v>
      </c>
      <c r="DI22" s="4">
        <v>0</v>
      </c>
      <c r="DJ22" s="4">
        <v>0</v>
      </c>
      <c r="DK22" s="4">
        <v>0</v>
      </c>
      <c r="DL22" s="4">
        <v>0</v>
      </c>
      <c r="DM22" s="4">
        <v>0</v>
      </c>
      <c r="DN22" s="4">
        <v>0</v>
      </c>
      <c r="DO22" s="4">
        <v>0</v>
      </c>
      <c r="DP22" s="4">
        <v>0</v>
      </c>
      <c r="DQ22" s="4">
        <v>0</v>
      </c>
      <c r="DR22" s="4">
        <v>0</v>
      </c>
      <c r="DS22" s="4">
        <v>0</v>
      </c>
      <c r="DT22" s="4">
        <v>0</v>
      </c>
      <c r="DU22" s="4">
        <v>0</v>
      </c>
      <c r="DV22" s="4">
        <v>0</v>
      </c>
      <c r="DW22" s="4">
        <v>0</v>
      </c>
      <c r="DX22" s="4">
        <v>0</v>
      </c>
      <c r="DY22" s="4">
        <v>0</v>
      </c>
      <c r="DZ22" s="4">
        <v>0</v>
      </c>
      <c r="EA22" s="4">
        <v>0</v>
      </c>
      <c r="EB22" s="4">
        <v>0</v>
      </c>
      <c r="EC22" s="4">
        <v>0</v>
      </c>
      <c r="ED22" s="4">
        <v>0</v>
      </c>
      <c r="EE22" s="4">
        <v>0</v>
      </c>
      <c r="EF22" s="4">
        <v>0</v>
      </c>
      <c r="EG22" s="4">
        <v>0</v>
      </c>
      <c r="EH22" s="4">
        <v>0</v>
      </c>
      <c r="EI22" s="4">
        <v>0</v>
      </c>
      <c r="EJ22" s="4">
        <v>0</v>
      </c>
      <c r="EK22" s="4">
        <v>0</v>
      </c>
      <c r="EL22" s="4">
        <v>0</v>
      </c>
      <c r="EM22" s="4">
        <v>0</v>
      </c>
      <c r="EN22" s="4">
        <v>0</v>
      </c>
      <c r="EO22" s="4">
        <v>0</v>
      </c>
      <c r="EP22" s="4">
        <v>0</v>
      </c>
      <c r="EQ22" s="4">
        <v>0</v>
      </c>
      <c r="ER22" s="4">
        <v>0</v>
      </c>
      <c r="ES22" s="4">
        <v>0</v>
      </c>
      <c r="ET22" s="4">
        <v>0</v>
      </c>
      <c r="EU22" s="4">
        <v>0</v>
      </c>
      <c r="EV22" s="4">
        <v>0</v>
      </c>
      <c r="EW22" s="4">
        <v>0</v>
      </c>
      <c r="EX22" s="4">
        <v>0</v>
      </c>
      <c r="EY22" s="4">
        <v>0</v>
      </c>
      <c r="EZ22" s="4">
        <v>0</v>
      </c>
    </row>
    <row r="23" spans="2:156" x14ac:dyDescent="0.35">
      <c r="B23" s="12"/>
      <c r="C23" s="12"/>
      <c r="D23" s="12"/>
      <c r="E23" s="13" t="s">
        <v>192</v>
      </c>
      <c r="F23" s="6">
        <v>271201.24478159053</v>
      </c>
      <c r="G23" s="4">
        <v>0.28440292697103015</v>
      </c>
      <c r="H23" s="4">
        <v>2496.3984718834326</v>
      </c>
      <c r="I23" s="4">
        <v>8840.9935136318854</v>
      </c>
      <c r="J23" s="4">
        <v>1602.6603848758182</v>
      </c>
      <c r="K23" s="4">
        <v>6.4529679045813175</v>
      </c>
      <c r="L23" s="4">
        <v>3057.6915670820681</v>
      </c>
      <c r="M23" s="4">
        <v>400.64889541928767</v>
      </c>
      <c r="N23" s="4">
        <v>0</v>
      </c>
      <c r="O23" s="4">
        <v>27.413033830408317</v>
      </c>
      <c r="P23" s="4">
        <v>0</v>
      </c>
      <c r="Q23" s="4">
        <v>192.44666089955533</v>
      </c>
      <c r="R23" s="4">
        <v>10532.054892488748</v>
      </c>
      <c r="S23" s="4">
        <v>0</v>
      </c>
      <c r="T23" s="4">
        <v>15894.00340932295</v>
      </c>
      <c r="U23" s="4">
        <v>1760.2020278442437</v>
      </c>
      <c r="V23" s="4">
        <v>1806.7774727169869</v>
      </c>
      <c r="W23" s="4">
        <v>3.5991838787288741</v>
      </c>
      <c r="X23" s="4">
        <v>44.351297527431377</v>
      </c>
      <c r="Y23" s="4">
        <v>4.831987029841132</v>
      </c>
      <c r="Z23" s="4">
        <v>3470.2276773142057</v>
      </c>
      <c r="AA23" s="4">
        <v>587.09843418765342</v>
      </c>
      <c r="AB23" s="4">
        <v>1821.6049481668463</v>
      </c>
      <c r="AC23" s="4">
        <v>8.1691469105752201</v>
      </c>
      <c r="AD23" s="4">
        <v>1372.9907407911496</v>
      </c>
      <c r="AE23" s="4">
        <v>4860.429476392892</v>
      </c>
      <c r="AF23" s="4">
        <v>581.33666145045163</v>
      </c>
      <c r="AG23" s="4">
        <v>271.83610871054185</v>
      </c>
      <c r="AH23" s="4">
        <v>2653.1989585272318</v>
      </c>
      <c r="AI23" s="4">
        <v>8.6253776486933447</v>
      </c>
      <c r="AJ23" s="4">
        <v>2.7628954998105346</v>
      </c>
      <c r="AK23" s="4">
        <v>6475.8028710728067</v>
      </c>
      <c r="AL23" s="4">
        <v>12329.606007569242</v>
      </c>
      <c r="AM23" s="4">
        <v>1150.2123298496747</v>
      </c>
      <c r="AN23" s="4">
        <v>372.11704055898446</v>
      </c>
      <c r="AO23" s="4">
        <v>1.324596842016909</v>
      </c>
      <c r="AP23" s="4">
        <v>12.586375940098657</v>
      </c>
      <c r="AQ23" s="4">
        <v>175.42837660031708</v>
      </c>
      <c r="AR23" s="4">
        <v>407.52433183367975</v>
      </c>
      <c r="AS23" s="4">
        <v>450.4088159003316</v>
      </c>
      <c r="AT23" s="4">
        <v>1544.3609809126924</v>
      </c>
      <c r="AU23" s="4">
        <v>76.266097822135279</v>
      </c>
      <c r="AV23" s="4">
        <v>13788.597628166452</v>
      </c>
      <c r="AW23" s="4">
        <v>187.37707222188956</v>
      </c>
      <c r="AX23" s="4">
        <v>4143.2978804007053</v>
      </c>
      <c r="AY23" s="4">
        <v>181.33566477273209</v>
      </c>
      <c r="AZ23" s="4">
        <v>690.70081267784622</v>
      </c>
      <c r="BA23" s="4">
        <v>-535.57760082730977</v>
      </c>
      <c r="BB23" s="4">
        <v>1198.6849995172679</v>
      </c>
      <c r="BC23" s="4">
        <v>2433.9803085669751</v>
      </c>
      <c r="BD23" s="4">
        <v>0</v>
      </c>
      <c r="BE23" s="4">
        <v>28.63013893763237</v>
      </c>
      <c r="BF23" s="4">
        <v>2669.1128961685454</v>
      </c>
      <c r="BG23" s="4">
        <v>3870.3121809841473</v>
      </c>
      <c r="BH23" s="4">
        <v>-1.522807039106419</v>
      </c>
      <c r="BI23" s="4">
        <v>45.037509939242021</v>
      </c>
      <c r="BJ23" s="4">
        <v>260.94811400426306</v>
      </c>
      <c r="BK23" s="4">
        <v>6093.1007537971327</v>
      </c>
      <c r="BL23" s="4">
        <v>63.156089155772932</v>
      </c>
      <c r="BM23" s="4">
        <v>10.082632345398274</v>
      </c>
      <c r="BN23" s="4">
        <v>0.90739826427083148</v>
      </c>
      <c r="BO23" s="4">
        <v>11.238136819600502</v>
      </c>
      <c r="BP23" s="4">
        <v>0</v>
      </c>
      <c r="BQ23" s="4">
        <v>1905.6094769888257</v>
      </c>
      <c r="BR23" s="4">
        <v>2325.1230821502018</v>
      </c>
      <c r="BS23" s="4">
        <v>741.62210602345522</v>
      </c>
      <c r="BT23" s="4">
        <v>3292.5041906458823</v>
      </c>
      <c r="BU23" s="4">
        <v>3717.8510249473038</v>
      </c>
      <c r="BV23" s="4">
        <v>2108.1901262399633</v>
      </c>
      <c r="BW23" s="4">
        <v>2092.3435299719304</v>
      </c>
      <c r="BX23" s="4">
        <v>1.7700868691585495E-2</v>
      </c>
      <c r="BY23" s="4">
        <v>3.1054155599272801E-3</v>
      </c>
      <c r="BZ23" s="4">
        <v>10.193880622810708</v>
      </c>
      <c r="CA23" s="4">
        <v>3002.3639485789013</v>
      </c>
      <c r="CB23" s="4">
        <v>307.82804863154354</v>
      </c>
      <c r="CC23" s="4">
        <v>-215.23262865730723</v>
      </c>
      <c r="CD23" s="4">
        <v>3.7014441757573389</v>
      </c>
      <c r="CE23" s="4">
        <v>38.143194895535103</v>
      </c>
      <c r="CF23" s="4">
        <v>1263.2441326476126</v>
      </c>
      <c r="CG23" s="4">
        <v>248.12249261210238</v>
      </c>
      <c r="CH23" s="4">
        <v>23.816953370097973</v>
      </c>
      <c r="CI23" s="4">
        <v>60.621688306141913</v>
      </c>
      <c r="CJ23" s="4">
        <v>834.36842856043984</v>
      </c>
      <c r="CK23" s="4">
        <v>764.59927728708044</v>
      </c>
      <c r="CL23" s="4">
        <v>2452.1803236837013</v>
      </c>
      <c r="CM23" s="4">
        <v>593.82183900163193</v>
      </c>
      <c r="CN23" s="4">
        <v>458.00292129077553</v>
      </c>
      <c r="CO23" s="4">
        <v>308.39762402260362</v>
      </c>
      <c r="CP23" s="4">
        <v>110.10945830089598</v>
      </c>
      <c r="CQ23" s="4">
        <v>499.07718318046227</v>
      </c>
      <c r="CR23" s="4">
        <v>1381.8406541246566</v>
      </c>
      <c r="CS23" s="4">
        <v>691.76861942272853</v>
      </c>
      <c r="CT23" s="4">
        <v>800.56658272090215</v>
      </c>
      <c r="CU23" s="4">
        <v>2609.1283372592143</v>
      </c>
      <c r="CV23" s="4">
        <v>46.510960800302378</v>
      </c>
      <c r="CW23" s="4">
        <v>468.51929865100902</v>
      </c>
      <c r="CX23" s="4">
        <v>349.35066751930697</v>
      </c>
      <c r="CY23" s="4">
        <v>247.8707395232737</v>
      </c>
      <c r="CZ23" s="4">
        <v>495.09597593666041</v>
      </c>
      <c r="DA23" s="4">
        <v>122.62164269063398</v>
      </c>
      <c r="DB23" s="4">
        <v>3020.2558484852884</v>
      </c>
      <c r="DC23" s="4">
        <v>283.68109994447383</v>
      </c>
      <c r="DD23" s="4">
        <v>335.84134908178447</v>
      </c>
      <c r="DE23" s="4">
        <v>164.3359066015019</v>
      </c>
      <c r="DF23" s="4">
        <v>338.73489757728709</v>
      </c>
      <c r="DG23" s="4">
        <v>260.74007833546722</v>
      </c>
      <c r="DH23" s="4">
        <v>103.89553617039255</v>
      </c>
      <c r="DI23" s="4">
        <v>1298.2451596352339</v>
      </c>
      <c r="DJ23" s="4">
        <v>302.4320411902516</v>
      </c>
      <c r="DK23" s="4">
        <v>-14.727582442098162</v>
      </c>
      <c r="DL23" s="4">
        <v>3.1054155599272801E-3</v>
      </c>
      <c r="DM23" s="4">
        <v>0</v>
      </c>
      <c r="DN23" s="4">
        <v>1566.113778811161</v>
      </c>
      <c r="DO23" s="4">
        <v>198.17645088126767</v>
      </c>
      <c r="DP23" s="4">
        <v>106.73864172999555</v>
      </c>
      <c r="DQ23" s="4">
        <v>787.36001546827333</v>
      </c>
      <c r="DR23" s="4">
        <v>522.90116204556864</v>
      </c>
      <c r="DS23" s="4">
        <v>2.6506294486611779</v>
      </c>
      <c r="DT23" s="4">
        <v>4.9376107402843754E-2</v>
      </c>
      <c r="DU23" s="4">
        <v>759.47999038970011</v>
      </c>
      <c r="DV23" s="4">
        <v>2305.9435199967543</v>
      </c>
      <c r="DW23" s="4">
        <v>784.75345880772284</v>
      </c>
      <c r="DX23" s="4">
        <v>1589.7393723098419</v>
      </c>
      <c r="DY23" s="4">
        <v>1244.6298578542926</v>
      </c>
      <c r="DZ23" s="4">
        <v>28.763248651846897</v>
      </c>
      <c r="EA23" s="4">
        <v>18.471641292247067</v>
      </c>
      <c r="EB23" s="4">
        <v>26.835521236432136</v>
      </c>
      <c r="EC23" s="4">
        <v>3.7495600222206096</v>
      </c>
      <c r="ED23" s="4">
        <v>25.457172396989066</v>
      </c>
      <c r="EE23" s="4">
        <v>84.361407572023268</v>
      </c>
      <c r="EF23" s="4">
        <v>10.675718709184313</v>
      </c>
      <c r="EG23" s="4">
        <v>4.2368037681845152</v>
      </c>
      <c r="EH23" s="4">
        <v>1573.9651439360064</v>
      </c>
      <c r="EI23" s="4">
        <v>2562.0036715464416</v>
      </c>
      <c r="EJ23" s="4">
        <v>13521.809703681976</v>
      </c>
      <c r="EK23" s="4">
        <v>19399.748233300739</v>
      </c>
      <c r="EL23" s="4">
        <v>835.38869153365795</v>
      </c>
      <c r="EM23" s="4">
        <v>167.56362155967361</v>
      </c>
      <c r="EN23" s="4">
        <v>27.763103478550168</v>
      </c>
      <c r="EO23" s="4">
        <v>-26.155303430187388</v>
      </c>
      <c r="EP23" s="4">
        <v>1.7901601592407885</v>
      </c>
      <c r="EQ23" s="4">
        <v>1.6989801038017842</v>
      </c>
      <c r="ER23" s="4">
        <v>24250.927151943197</v>
      </c>
      <c r="ES23" s="4">
        <v>314.64283688920904</v>
      </c>
      <c r="ET23" s="4">
        <v>320.66966861013861</v>
      </c>
      <c r="EU23" s="4">
        <v>21485.208303929681</v>
      </c>
      <c r="EV23" s="4">
        <v>1.6989801038017842</v>
      </c>
      <c r="EW23" s="4">
        <v>1905.0943612664501</v>
      </c>
      <c r="EX23" s="4">
        <v>14731.27924943492</v>
      </c>
      <c r="EY23" s="4">
        <v>454.8739937933363</v>
      </c>
      <c r="EZ23" s="4">
        <v>1969.4683893789741</v>
      </c>
    </row>
    <row r="24" spans="2:156" x14ac:dyDescent="0.35">
      <c r="B24" s="12"/>
      <c r="C24" s="12"/>
      <c r="D24" s="12"/>
      <c r="E24" s="13" t="s">
        <v>191</v>
      </c>
      <c r="F24" s="6">
        <v>271483.38868618157</v>
      </c>
      <c r="G24" s="4">
        <v>0.28440292697103015</v>
      </c>
      <c r="H24" s="4">
        <v>2496.3984718834326</v>
      </c>
      <c r="I24" s="4">
        <v>8840.9935136318854</v>
      </c>
      <c r="J24" s="4">
        <v>1602.6603848758182</v>
      </c>
      <c r="K24" s="4">
        <v>6.4529679045813175</v>
      </c>
      <c r="L24" s="4">
        <v>3057.6915670820681</v>
      </c>
      <c r="M24" s="4">
        <v>400.64889541928767</v>
      </c>
      <c r="N24" s="4">
        <v>0</v>
      </c>
      <c r="O24" s="4">
        <v>27.413033830408317</v>
      </c>
      <c r="P24" s="4">
        <v>0</v>
      </c>
      <c r="Q24" s="4">
        <v>192.44666089955533</v>
      </c>
      <c r="R24" s="4">
        <v>10532.054892488748</v>
      </c>
      <c r="S24" s="4">
        <v>0</v>
      </c>
      <c r="T24" s="4">
        <v>15894.00340932295</v>
      </c>
      <c r="U24" s="4">
        <v>1760.2020278442437</v>
      </c>
      <c r="V24" s="4">
        <v>1806.7774727169869</v>
      </c>
      <c r="W24" s="4">
        <v>3.5991838787288741</v>
      </c>
      <c r="X24" s="4">
        <v>44.351297527431377</v>
      </c>
      <c r="Y24" s="4">
        <v>4.831987029841132</v>
      </c>
      <c r="Z24" s="4">
        <v>3495.2696785462053</v>
      </c>
      <c r="AA24" s="4">
        <v>597.74418435573011</v>
      </c>
      <c r="AB24" s="4">
        <v>1898.9214973668463</v>
      </c>
      <c r="AC24" s="4">
        <v>8.1691469105752201</v>
      </c>
      <c r="AD24" s="4">
        <v>1381.6769998311497</v>
      </c>
      <c r="AE24" s="4">
        <v>4891.3298880078919</v>
      </c>
      <c r="AF24" s="4">
        <v>597.86084645045162</v>
      </c>
      <c r="AG24" s="4">
        <v>271.83610871054185</v>
      </c>
      <c r="AH24" s="4">
        <v>2660.0122481702315</v>
      </c>
      <c r="AI24" s="4">
        <v>8.6253776486933447</v>
      </c>
      <c r="AJ24" s="4">
        <v>2.7628954998105346</v>
      </c>
      <c r="AK24" s="4">
        <v>6508.2623050728071</v>
      </c>
      <c r="AL24" s="4">
        <v>12376.500784452426</v>
      </c>
      <c r="AM24" s="4">
        <v>1153.2946370552756</v>
      </c>
      <c r="AN24" s="4">
        <v>372.11704055898446</v>
      </c>
      <c r="AO24" s="4">
        <v>1.324596842016909</v>
      </c>
      <c r="AP24" s="4">
        <v>12.586375940098657</v>
      </c>
      <c r="AQ24" s="4">
        <v>177.82115584031706</v>
      </c>
      <c r="AR24" s="4">
        <v>408.66855763367977</v>
      </c>
      <c r="AS24" s="4">
        <v>450.4088159003316</v>
      </c>
      <c r="AT24" s="4">
        <v>1544.3609809126924</v>
      </c>
      <c r="AU24" s="4">
        <v>78.358490664570979</v>
      </c>
      <c r="AV24" s="4">
        <v>13513.408642442391</v>
      </c>
      <c r="AW24" s="4">
        <v>187.70679774465455</v>
      </c>
      <c r="AX24" s="4">
        <v>4145.8571309507051</v>
      </c>
      <c r="AY24" s="4">
        <v>182.01864264573567</v>
      </c>
      <c r="AZ24" s="4">
        <v>690.92267472784624</v>
      </c>
      <c r="BA24" s="4">
        <v>-535.57760082730977</v>
      </c>
      <c r="BB24" s="4">
        <v>1198.6849995172679</v>
      </c>
      <c r="BC24" s="4">
        <v>2433.9803085669751</v>
      </c>
      <c r="BD24" s="4">
        <v>0</v>
      </c>
      <c r="BE24" s="4">
        <v>28.63013893763237</v>
      </c>
      <c r="BF24" s="4">
        <v>2679.7395358680424</v>
      </c>
      <c r="BG24" s="4">
        <v>3862.8060981808271</v>
      </c>
      <c r="BH24" s="4">
        <v>-1.522807039106419</v>
      </c>
      <c r="BI24" s="4">
        <v>45.037509939242021</v>
      </c>
      <c r="BJ24" s="4">
        <v>260.94811400426306</v>
      </c>
      <c r="BK24" s="4">
        <v>6154.6735671040497</v>
      </c>
      <c r="BL24" s="4">
        <v>63.156089155772932</v>
      </c>
      <c r="BM24" s="4">
        <v>10.082632345398274</v>
      </c>
      <c r="BN24" s="4">
        <v>0.90739826427083148</v>
      </c>
      <c r="BO24" s="4">
        <v>11.238136819600502</v>
      </c>
      <c r="BP24" s="4">
        <v>0</v>
      </c>
      <c r="BQ24" s="4">
        <v>1905.6094769888257</v>
      </c>
      <c r="BR24" s="4">
        <v>2333.218929710034</v>
      </c>
      <c r="BS24" s="4">
        <v>743.55932386677739</v>
      </c>
      <c r="BT24" s="4">
        <v>3356.0860355918153</v>
      </c>
      <c r="BU24" s="4">
        <v>3757.2123513153779</v>
      </c>
      <c r="BV24" s="4">
        <v>2123.7642195551516</v>
      </c>
      <c r="BW24" s="4">
        <v>2103.8699366207693</v>
      </c>
      <c r="BX24" s="4">
        <v>1.7700868691585495E-2</v>
      </c>
      <c r="BY24" s="4">
        <v>3.1054155599272801E-3</v>
      </c>
      <c r="BZ24" s="4">
        <v>10.193880622810708</v>
      </c>
      <c r="CA24" s="4">
        <v>3002.3639485789013</v>
      </c>
      <c r="CB24" s="4">
        <v>307.82804863154354</v>
      </c>
      <c r="CC24" s="4">
        <v>-215.23262865730723</v>
      </c>
      <c r="CD24" s="4">
        <v>3.7014441757573389</v>
      </c>
      <c r="CE24" s="4">
        <v>38.143194895535103</v>
      </c>
      <c r="CF24" s="4">
        <v>1268.4720144772341</v>
      </c>
      <c r="CG24" s="4">
        <v>253.50212522278696</v>
      </c>
      <c r="CH24" s="4">
        <v>24.466644543990594</v>
      </c>
      <c r="CI24" s="4">
        <v>60.72127600432983</v>
      </c>
      <c r="CJ24" s="4">
        <v>840.89599117980833</v>
      </c>
      <c r="CK24" s="4">
        <v>769.18331484224154</v>
      </c>
      <c r="CL24" s="4">
        <v>2470.4909652267957</v>
      </c>
      <c r="CM24" s="4">
        <v>596.7564671612339</v>
      </c>
      <c r="CN24" s="4">
        <v>470.61393281830772</v>
      </c>
      <c r="CO24" s="4">
        <v>310.97990932525965</v>
      </c>
      <c r="CP24" s="4">
        <v>112.06390639676175</v>
      </c>
      <c r="CQ24" s="4">
        <v>506.65289841947305</v>
      </c>
      <c r="CR24" s="4">
        <v>1384.2967080679666</v>
      </c>
      <c r="CS24" s="4">
        <v>692.95230615733317</v>
      </c>
      <c r="CT24" s="4">
        <v>807.50168033185514</v>
      </c>
      <c r="CU24" s="4">
        <v>2631.1723904045334</v>
      </c>
      <c r="CV24" s="4">
        <v>56.131859593527878</v>
      </c>
      <c r="CW24" s="4">
        <v>476.74004183042581</v>
      </c>
      <c r="CX24" s="4">
        <v>352.00240738392949</v>
      </c>
      <c r="CY24" s="4">
        <v>250.68345409569883</v>
      </c>
      <c r="CZ24" s="4">
        <v>496.45002837042853</v>
      </c>
      <c r="DA24" s="4">
        <v>125.4438468749313</v>
      </c>
      <c r="DB24" s="4">
        <v>3038.9234834727581</v>
      </c>
      <c r="DC24" s="4">
        <v>291.48068200598249</v>
      </c>
      <c r="DD24" s="4">
        <v>340.13791014817645</v>
      </c>
      <c r="DE24" s="4">
        <v>166.11523842426834</v>
      </c>
      <c r="DF24" s="4">
        <v>342.231200354669</v>
      </c>
      <c r="DG24" s="4">
        <v>262.98601804317195</v>
      </c>
      <c r="DH24" s="4">
        <v>105.39390283921897</v>
      </c>
      <c r="DI24" s="4">
        <v>1319.7024995861079</v>
      </c>
      <c r="DJ24" s="4">
        <v>304.38113448632873</v>
      </c>
      <c r="DK24" s="4">
        <v>-14.727582442098162</v>
      </c>
      <c r="DL24" s="4">
        <v>3.1054155599272801E-3</v>
      </c>
      <c r="DM24" s="4">
        <v>0</v>
      </c>
      <c r="DN24" s="4">
        <v>1596.4917288916376</v>
      </c>
      <c r="DO24" s="4">
        <v>205.73052028619608</v>
      </c>
      <c r="DP24" s="4">
        <v>109.78655800969334</v>
      </c>
      <c r="DQ24" s="4">
        <v>797.81972721652176</v>
      </c>
      <c r="DR24" s="4">
        <v>552.07980434963906</v>
      </c>
      <c r="DS24" s="4">
        <v>2.6506294486611779</v>
      </c>
      <c r="DT24" s="4">
        <v>4.9376107402843754E-2</v>
      </c>
      <c r="DU24" s="4">
        <v>748.51637582907586</v>
      </c>
      <c r="DV24" s="4">
        <v>2304.8246144285745</v>
      </c>
      <c r="DW24" s="4">
        <v>786.64844096337652</v>
      </c>
      <c r="DX24" s="4">
        <v>1589.7393723098419</v>
      </c>
      <c r="DY24" s="4">
        <v>1244.6298578542926</v>
      </c>
      <c r="DZ24" s="4">
        <v>28.763248651846897</v>
      </c>
      <c r="EA24" s="4">
        <v>18.471641292247067</v>
      </c>
      <c r="EB24" s="4">
        <v>26.835521236432136</v>
      </c>
      <c r="EC24" s="4">
        <v>3.7495600222206096</v>
      </c>
      <c r="ED24" s="4">
        <v>25.457172396989066</v>
      </c>
      <c r="EE24" s="4">
        <v>84.361407572023268</v>
      </c>
      <c r="EF24" s="4">
        <v>10.675718709184313</v>
      </c>
      <c r="EG24" s="4">
        <v>4.2368037681845152</v>
      </c>
      <c r="EH24" s="4">
        <v>1573.9651439360064</v>
      </c>
      <c r="EI24" s="4">
        <v>2562.0036715464416</v>
      </c>
      <c r="EJ24" s="4">
        <v>13528.721827874419</v>
      </c>
      <c r="EK24" s="4">
        <v>19399.748233300739</v>
      </c>
      <c r="EL24" s="4">
        <v>835.38869153365795</v>
      </c>
      <c r="EM24" s="4">
        <v>167.56362155967361</v>
      </c>
      <c r="EN24" s="4">
        <v>27.763103478550168</v>
      </c>
      <c r="EO24" s="4">
        <v>-26.155303430187388</v>
      </c>
      <c r="EP24" s="4">
        <v>1.7901601592407885</v>
      </c>
      <c r="EQ24" s="4">
        <v>1.6989801038017842</v>
      </c>
      <c r="ER24" s="4">
        <v>24139.721501170628</v>
      </c>
      <c r="ES24" s="4">
        <v>314.64283688920904</v>
      </c>
      <c r="ET24" s="4">
        <v>320.66966861013861</v>
      </c>
      <c r="EU24" s="4">
        <v>21421.146347886119</v>
      </c>
      <c r="EV24" s="4">
        <v>1.6989801038017842</v>
      </c>
      <c r="EW24" s="4">
        <v>1905.0943612664501</v>
      </c>
      <c r="EX24" s="4">
        <v>14731.27924943492</v>
      </c>
      <c r="EY24" s="4">
        <v>454.8739937933363</v>
      </c>
      <c r="EZ24" s="4">
        <v>1970.4722709715577</v>
      </c>
    </row>
    <row r="26" spans="2:156" x14ac:dyDescent="0.35">
      <c r="B26" s="5" t="s">
        <v>213</v>
      </c>
    </row>
    <row r="28" spans="2:156" x14ac:dyDescent="0.35">
      <c r="B28" s="15" t="s">
        <v>112</v>
      </c>
      <c r="C28" s="16" t="s">
        <v>113</v>
      </c>
      <c r="D28" s="17" t="s">
        <v>114</v>
      </c>
      <c r="E28" s="1" t="s">
        <v>2</v>
      </c>
      <c r="F28" s="2" t="s">
        <v>206</v>
      </c>
      <c r="G28" s="2" t="s">
        <v>203</v>
      </c>
      <c r="I28" s="27" t="s">
        <v>247</v>
      </c>
      <c r="J28" s="28"/>
      <c r="K28" s="28"/>
      <c r="L28" s="28"/>
      <c r="M28" s="28"/>
    </row>
    <row r="29" spans="2:156" x14ac:dyDescent="0.35">
      <c r="B29" s="10">
        <v>1</v>
      </c>
      <c r="C29" s="10" t="s">
        <v>167</v>
      </c>
      <c r="D29" s="10" t="s">
        <v>168</v>
      </c>
      <c r="E29" s="3" t="s">
        <v>195</v>
      </c>
      <c r="F29" s="4">
        <v>1355.330195491242</v>
      </c>
      <c r="G29" s="4">
        <v>1355.330195491242</v>
      </c>
      <c r="I29" t="s">
        <v>3</v>
      </c>
      <c r="J29" t="s">
        <v>8</v>
      </c>
      <c r="K29" t="s">
        <v>13</v>
      </c>
      <c r="L29" t="s">
        <v>18</v>
      </c>
      <c r="M29" t="s">
        <v>126</v>
      </c>
    </row>
    <row r="30" spans="2:156" x14ac:dyDescent="0.35">
      <c r="B30" s="10">
        <v>1</v>
      </c>
      <c r="C30" s="10" t="s">
        <v>167</v>
      </c>
      <c r="D30" s="10" t="s">
        <v>168</v>
      </c>
      <c r="E30" s="3" t="s">
        <v>196</v>
      </c>
      <c r="F30" s="4">
        <v>1917.7899995648161</v>
      </c>
      <c r="G30" s="4">
        <v>1917.7899995648161</v>
      </c>
      <c r="I30" t="s">
        <v>4</v>
      </c>
      <c r="J30" t="s">
        <v>9</v>
      </c>
      <c r="K30" t="s">
        <v>14</v>
      </c>
      <c r="L30" t="s">
        <v>19</v>
      </c>
    </row>
    <row r="31" spans="2:156" x14ac:dyDescent="0.35">
      <c r="B31" s="10">
        <v>1</v>
      </c>
      <c r="C31" s="10" t="s">
        <v>167</v>
      </c>
      <c r="D31" s="10" t="s">
        <v>168</v>
      </c>
      <c r="E31" s="3" t="s">
        <v>197</v>
      </c>
      <c r="F31" s="4">
        <v>0</v>
      </c>
      <c r="G31" s="4">
        <v>0</v>
      </c>
      <c r="I31" t="s">
        <v>5</v>
      </c>
      <c r="J31" t="s">
        <v>10</v>
      </c>
      <c r="K31" t="s">
        <v>15</v>
      </c>
      <c r="L31" t="s">
        <v>20</v>
      </c>
    </row>
    <row r="32" spans="2:156" x14ac:dyDescent="0.35">
      <c r="B32" s="10">
        <v>1</v>
      </c>
      <c r="C32" s="10" t="s">
        <v>167</v>
      </c>
      <c r="D32" s="10" t="s">
        <v>168</v>
      </c>
      <c r="E32" s="3" t="s">
        <v>198</v>
      </c>
      <c r="F32" s="4">
        <v>1.5385</v>
      </c>
      <c r="G32" s="4">
        <v>1.5385</v>
      </c>
      <c r="I32" t="s">
        <v>6</v>
      </c>
      <c r="J32" t="s">
        <v>11</v>
      </c>
      <c r="K32" t="s">
        <v>16</v>
      </c>
      <c r="L32" t="s">
        <v>118</v>
      </c>
    </row>
    <row r="33" spans="2:13" x14ac:dyDescent="0.35">
      <c r="B33" s="10">
        <v>1</v>
      </c>
      <c r="C33" s="10" t="s">
        <v>167</v>
      </c>
      <c r="D33" s="10" t="s">
        <v>168</v>
      </c>
      <c r="E33" s="3" t="s">
        <v>199</v>
      </c>
      <c r="F33" s="4">
        <v>328.95312132109353</v>
      </c>
      <c r="G33" s="4">
        <v>328.95312132109353</v>
      </c>
      <c r="I33" t="s">
        <v>7</v>
      </c>
      <c r="J33" t="s">
        <v>12</v>
      </c>
      <c r="K33" t="s">
        <v>17</v>
      </c>
      <c r="L33" t="s">
        <v>128</v>
      </c>
    </row>
    <row r="34" spans="2:13" x14ac:dyDescent="0.35">
      <c r="B34" s="10">
        <v>2</v>
      </c>
      <c r="C34" s="10" t="s">
        <v>167</v>
      </c>
      <c r="D34" s="10" t="s">
        <v>168</v>
      </c>
      <c r="E34" s="3" t="s">
        <v>200</v>
      </c>
      <c r="F34" s="4">
        <v>5272.937246624535</v>
      </c>
      <c r="G34" s="4">
        <v>4764.38176318144</v>
      </c>
    </row>
    <row r="35" spans="2:13" x14ac:dyDescent="0.35">
      <c r="B35" s="10">
        <v>2</v>
      </c>
      <c r="C35" s="10" t="s">
        <v>167</v>
      </c>
      <c r="D35" s="10" t="s">
        <v>168</v>
      </c>
      <c r="E35" s="3" t="s">
        <v>201</v>
      </c>
      <c r="F35" s="4">
        <v>53.555697048902019</v>
      </c>
      <c r="G35" s="4">
        <v>53.555697048902019</v>
      </c>
      <c r="I35" s="27" t="s">
        <v>248</v>
      </c>
      <c r="J35" s="28"/>
      <c r="K35" s="28"/>
      <c r="L35" s="28"/>
      <c r="M35" s="28"/>
    </row>
    <row r="36" spans="2:13" x14ac:dyDescent="0.35">
      <c r="B36" s="10">
        <v>2</v>
      </c>
      <c r="C36" s="10" t="s">
        <v>167</v>
      </c>
      <c r="D36" s="10" t="s">
        <v>168</v>
      </c>
      <c r="E36" s="3" t="s">
        <v>202</v>
      </c>
      <c r="F36" s="4">
        <v>0</v>
      </c>
      <c r="G36" s="4">
        <v>0</v>
      </c>
      <c r="I36" t="s">
        <v>38</v>
      </c>
      <c r="J36" t="s">
        <v>39</v>
      </c>
    </row>
    <row r="37" spans="2:13" x14ac:dyDescent="0.35">
      <c r="B37" s="10">
        <v>2</v>
      </c>
      <c r="C37" s="10" t="s">
        <v>167</v>
      </c>
      <c r="D37" s="10" t="s">
        <v>168</v>
      </c>
      <c r="E37" s="3" t="s">
        <v>199</v>
      </c>
      <c r="F37" s="4">
        <v>1023.9800002485927</v>
      </c>
      <c r="G37" s="4">
        <v>1250.3915791007703</v>
      </c>
    </row>
    <row r="38" spans="2:13" x14ac:dyDescent="0.35">
      <c r="B38" s="11">
        <v>3</v>
      </c>
      <c r="C38" s="11">
        <v>1</v>
      </c>
      <c r="D38" s="11" t="s">
        <v>172</v>
      </c>
      <c r="E38" s="3" t="s">
        <v>173</v>
      </c>
      <c r="F38" s="4">
        <v>191705.13855248954</v>
      </c>
      <c r="G38" s="4">
        <v>191705.13855248954</v>
      </c>
    </row>
    <row r="39" spans="2:13" x14ac:dyDescent="0.35">
      <c r="B39" s="11">
        <v>3</v>
      </c>
      <c r="C39" s="11">
        <v>2</v>
      </c>
      <c r="D39" s="11" t="s">
        <v>172</v>
      </c>
      <c r="E39" s="3" t="s">
        <v>174</v>
      </c>
      <c r="F39" s="4">
        <v>8445.8015955042374</v>
      </c>
      <c r="G39" s="4">
        <v>8445.8015955042374</v>
      </c>
    </row>
    <row r="40" spans="2:13" ht="29" x14ac:dyDescent="0.35">
      <c r="B40" s="11">
        <v>3</v>
      </c>
      <c r="C40" s="11">
        <v>3</v>
      </c>
      <c r="D40" s="11" t="s">
        <v>172</v>
      </c>
      <c r="E40" s="3" t="s">
        <v>175</v>
      </c>
      <c r="F40" s="4">
        <v>2299.2305245545008</v>
      </c>
      <c r="G40" s="4">
        <v>2299.2305245545008</v>
      </c>
    </row>
    <row r="41" spans="2:13" ht="29" x14ac:dyDescent="0.35">
      <c r="B41" s="11">
        <v>3</v>
      </c>
      <c r="C41" s="11">
        <v>4</v>
      </c>
      <c r="D41" s="11" t="s">
        <v>172</v>
      </c>
      <c r="E41" s="3" t="s">
        <v>176</v>
      </c>
      <c r="F41" s="4">
        <v>41103.352916057978</v>
      </c>
      <c r="G41" s="4">
        <v>41103.352916057978</v>
      </c>
    </row>
    <row r="42" spans="2:13" ht="29" x14ac:dyDescent="0.35">
      <c r="B42" s="11">
        <v>3</v>
      </c>
      <c r="C42" s="11">
        <v>5</v>
      </c>
      <c r="D42" s="11" t="s">
        <v>172</v>
      </c>
      <c r="E42" s="3" t="s">
        <v>177</v>
      </c>
      <c r="F42" s="4">
        <v>721.55268503366597</v>
      </c>
      <c r="G42" s="4">
        <v>721.55268503366597</v>
      </c>
    </row>
    <row r="43" spans="2:13" x14ac:dyDescent="0.35">
      <c r="B43" s="11">
        <v>3</v>
      </c>
      <c r="C43" s="11">
        <v>6</v>
      </c>
      <c r="D43" s="11" t="s">
        <v>172</v>
      </c>
      <c r="E43" s="3" t="s">
        <v>178</v>
      </c>
      <c r="F43" s="4">
        <v>6514.0033433913959</v>
      </c>
      <c r="G43" s="4">
        <v>6514.0033433913959</v>
      </c>
    </row>
    <row r="44" spans="2:13" x14ac:dyDescent="0.35">
      <c r="B44" s="11">
        <v>3</v>
      </c>
      <c r="C44" s="11">
        <v>7</v>
      </c>
      <c r="D44" s="11" t="s">
        <v>172</v>
      </c>
      <c r="E44" s="3" t="s">
        <v>179</v>
      </c>
      <c r="F44" s="4">
        <v>6123.1242941016199</v>
      </c>
      <c r="G44" s="4">
        <v>6123.1242941016199</v>
      </c>
    </row>
    <row r="45" spans="2:13" x14ac:dyDescent="0.35">
      <c r="B45" s="11">
        <v>3</v>
      </c>
      <c r="C45" s="11">
        <v>8</v>
      </c>
      <c r="D45" s="11" t="s">
        <v>172</v>
      </c>
      <c r="E45" s="3" t="s">
        <v>180</v>
      </c>
      <c r="F45" s="4">
        <v>2800.9243702788699</v>
      </c>
      <c r="G45" s="4">
        <v>2800.9243702788699</v>
      </c>
    </row>
    <row r="46" spans="2:13" ht="29" x14ac:dyDescent="0.35">
      <c r="B46" s="11">
        <v>3</v>
      </c>
      <c r="C46" s="11">
        <v>9</v>
      </c>
      <c r="D46" s="11" t="s">
        <v>181</v>
      </c>
      <c r="E46" s="3" t="s">
        <v>182</v>
      </c>
      <c r="F46" s="4">
        <v>0</v>
      </c>
      <c r="G46" s="4">
        <v>0</v>
      </c>
    </row>
    <row r="47" spans="2:13" x14ac:dyDescent="0.35">
      <c r="B47" s="11">
        <v>3</v>
      </c>
      <c r="C47" s="11">
        <v>10</v>
      </c>
      <c r="D47" s="11" t="s">
        <v>181</v>
      </c>
      <c r="E47" s="3" t="s">
        <v>183</v>
      </c>
      <c r="F47" s="4">
        <v>0</v>
      </c>
      <c r="G47" s="4">
        <v>0</v>
      </c>
    </row>
    <row r="48" spans="2:13" x14ac:dyDescent="0.35">
      <c r="B48" s="11">
        <v>3</v>
      </c>
      <c r="C48" s="11">
        <v>11</v>
      </c>
      <c r="D48" s="11" t="s">
        <v>181</v>
      </c>
      <c r="E48" s="3" t="s">
        <v>184</v>
      </c>
      <c r="F48" s="4">
        <v>1722.2300450773314</v>
      </c>
      <c r="G48" s="4">
        <v>1722.2300450773314</v>
      </c>
    </row>
    <row r="49" spans="2:7" ht="29" x14ac:dyDescent="0.35">
      <c r="B49" s="11">
        <v>3</v>
      </c>
      <c r="C49" s="11">
        <v>12</v>
      </c>
      <c r="D49" s="11" t="s">
        <v>181</v>
      </c>
      <c r="E49" s="3" t="s">
        <v>185</v>
      </c>
      <c r="F49" s="4">
        <v>93.945599393436993</v>
      </c>
      <c r="G49" s="4">
        <v>93.945599393436993</v>
      </c>
    </row>
    <row r="50" spans="2:7" x14ac:dyDescent="0.35">
      <c r="B50" s="11">
        <v>3</v>
      </c>
      <c r="C50" s="11">
        <v>13</v>
      </c>
      <c r="D50" s="11" t="s">
        <v>181</v>
      </c>
      <c r="E50" s="3" t="s">
        <v>186</v>
      </c>
      <c r="F50" s="4">
        <v>0</v>
      </c>
      <c r="G50" s="4">
        <v>0</v>
      </c>
    </row>
    <row r="51" spans="2:7" x14ac:dyDescent="0.35">
      <c r="B51" s="11">
        <v>3</v>
      </c>
      <c r="C51" s="11">
        <v>14</v>
      </c>
      <c r="D51" s="11" t="s">
        <v>181</v>
      </c>
      <c r="E51" s="3" t="s">
        <v>187</v>
      </c>
      <c r="F51" s="4">
        <v>0</v>
      </c>
      <c r="G51" s="4">
        <v>0</v>
      </c>
    </row>
    <row r="52" spans="2:7" x14ac:dyDescent="0.35">
      <c r="B52" s="11">
        <v>3</v>
      </c>
      <c r="C52" s="11">
        <v>15</v>
      </c>
      <c r="D52" s="11" t="s">
        <v>181</v>
      </c>
      <c r="E52" s="3" t="s">
        <v>188</v>
      </c>
      <c r="F52" s="4">
        <v>0</v>
      </c>
      <c r="G52" s="4">
        <v>0</v>
      </c>
    </row>
    <row r="53" spans="2:7" x14ac:dyDescent="0.35">
      <c r="B53" s="49" t="s">
        <v>111</v>
      </c>
      <c r="C53" s="50"/>
      <c r="D53" s="50"/>
      <c r="E53" s="51"/>
      <c r="F53" s="6">
        <v>271483.38868618186</v>
      </c>
      <c r="G53" s="6">
        <v>271201.24478159094</v>
      </c>
    </row>
  </sheetData>
  <mergeCells count="1">
    <mergeCell ref="B53:E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2AC5-F764-4AEE-9BE1-CAE9474F517B}">
  <dimension ref="B2:FQ53"/>
  <sheetViews>
    <sheetView showGridLines="0" tabSelected="1" zoomScale="90" zoomScaleNormal="90" workbookViewId="0">
      <selection activeCell="CN10" sqref="CN10:CN16"/>
    </sheetView>
  </sheetViews>
  <sheetFormatPr defaultRowHeight="14.5" x14ac:dyDescent="0.35"/>
  <cols>
    <col min="2" max="2" width="13.81640625" customWidth="1"/>
    <col min="3" max="3" width="13.1796875" customWidth="1"/>
    <col min="4" max="4" width="22.81640625" customWidth="1"/>
    <col min="5" max="5" width="25.453125" customWidth="1"/>
    <col min="6" max="6" width="29.90625" customWidth="1"/>
    <col min="7" max="7" width="18" hidden="1" customWidth="1"/>
    <col min="8" max="8" width="20.453125" hidden="1" customWidth="1"/>
    <col min="9" max="91" width="9.08984375" hidden="1" customWidth="1"/>
  </cols>
  <sheetData>
    <row r="2" spans="2:173" x14ac:dyDescent="0.35">
      <c r="B2" s="5" t="s">
        <v>224</v>
      </c>
    </row>
    <row r="3" spans="2:173" x14ac:dyDescent="0.35">
      <c r="G3" t="s">
        <v>190</v>
      </c>
      <c r="H3" t="s">
        <v>190</v>
      </c>
      <c r="I3" t="s">
        <v>190</v>
      </c>
      <c r="J3" t="s">
        <v>190</v>
      </c>
      <c r="K3" t="s">
        <v>190</v>
      </c>
      <c r="L3" t="s">
        <v>190</v>
      </c>
      <c r="M3" t="s">
        <v>190</v>
      </c>
      <c r="N3" t="s">
        <v>190</v>
      </c>
      <c r="O3" t="s">
        <v>190</v>
      </c>
      <c r="P3" t="s">
        <v>190</v>
      </c>
      <c r="Q3" t="s">
        <v>190</v>
      </c>
      <c r="R3" t="s">
        <v>190</v>
      </c>
      <c r="S3" t="s">
        <v>190</v>
      </c>
      <c r="T3" t="s">
        <v>190</v>
      </c>
      <c r="U3" t="s">
        <v>190</v>
      </c>
      <c r="V3" t="s">
        <v>190</v>
      </c>
      <c r="W3" t="s">
        <v>190</v>
      </c>
      <c r="X3" t="s">
        <v>190</v>
      </c>
      <c r="Y3" t="s">
        <v>190</v>
      </c>
      <c r="Z3" t="s">
        <v>190</v>
      </c>
      <c r="AA3" t="s">
        <v>190</v>
      </c>
      <c r="AB3" t="s">
        <v>190</v>
      </c>
      <c r="AC3" t="s">
        <v>190</v>
      </c>
      <c r="AD3" t="s">
        <v>190</v>
      </c>
      <c r="AE3" t="s">
        <v>190</v>
      </c>
      <c r="AF3" t="s">
        <v>190</v>
      </c>
      <c r="AG3" t="s">
        <v>190</v>
      </c>
      <c r="AH3" t="s">
        <v>190</v>
      </c>
      <c r="AI3" t="s">
        <v>190</v>
      </c>
      <c r="AJ3" t="s">
        <v>190</v>
      </c>
      <c r="AK3" t="s">
        <v>190</v>
      </c>
      <c r="AL3" t="s">
        <v>190</v>
      </c>
      <c r="AM3" t="s">
        <v>190</v>
      </c>
      <c r="AN3" t="s">
        <v>190</v>
      </c>
      <c r="AO3" t="s">
        <v>190</v>
      </c>
      <c r="AP3" t="s">
        <v>190</v>
      </c>
      <c r="AQ3" t="s">
        <v>190</v>
      </c>
      <c r="AR3" t="s">
        <v>190</v>
      </c>
      <c r="AS3" t="s">
        <v>190</v>
      </c>
      <c r="AT3" t="s">
        <v>190</v>
      </c>
      <c r="AU3" t="s">
        <v>190</v>
      </c>
      <c r="AV3" t="s">
        <v>190</v>
      </c>
      <c r="AW3" t="s">
        <v>190</v>
      </c>
      <c r="AX3" t="s">
        <v>190</v>
      </c>
      <c r="AY3" t="s">
        <v>190</v>
      </c>
      <c r="AZ3" t="s">
        <v>190</v>
      </c>
      <c r="BA3" t="s">
        <v>190</v>
      </c>
      <c r="BB3" t="s">
        <v>190</v>
      </c>
      <c r="BC3" t="s">
        <v>190</v>
      </c>
      <c r="BD3" t="s">
        <v>190</v>
      </c>
      <c r="BE3" t="s">
        <v>190</v>
      </c>
      <c r="BF3" t="s">
        <v>190</v>
      </c>
      <c r="BG3" t="s">
        <v>190</v>
      </c>
      <c r="BH3" t="s">
        <v>190</v>
      </c>
      <c r="BI3" t="s">
        <v>190</v>
      </c>
      <c r="BJ3" t="s">
        <v>190</v>
      </c>
      <c r="BK3" t="s">
        <v>190</v>
      </c>
      <c r="BL3" t="s">
        <v>190</v>
      </c>
      <c r="BM3" t="s">
        <v>190</v>
      </c>
      <c r="BN3" t="s">
        <v>190</v>
      </c>
      <c r="BO3" t="s">
        <v>211</v>
      </c>
      <c r="BP3" t="s">
        <v>211</v>
      </c>
      <c r="BQ3" t="s">
        <v>190</v>
      </c>
      <c r="BR3" t="s">
        <v>190</v>
      </c>
      <c r="BS3" t="s">
        <v>190</v>
      </c>
      <c r="BT3" t="s">
        <v>190</v>
      </c>
      <c r="BU3" t="s">
        <v>190</v>
      </c>
      <c r="BV3" t="s">
        <v>190</v>
      </c>
      <c r="BW3" t="s">
        <v>190</v>
      </c>
      <c r="BX3" t="s">
        <v>190</v>
      </c>
      <c r="BY3" t="s">
        <v>190</v>
      </c>
      <c r="BZ3" t="s">
        <v>190</v>
      </c>
      <c r="CA3" t="s">
        <v>190</v>
      </c>
      <c r="CB3" t="s">
        <v>190</v>
      </c>
      <c r="CC3" t="s">
        <v>190</v>
      </c>
      <c r="CD3" t="s">
        <v>190</v>
      </c>
      <c r="CE3" t="s">
        <v>190</v>
      </c>
      <c r="CF3" t="s">
        <v>190</v>
      </c>
      <c r="CG3" t="s">
        <v>190</v>
      </c>
      <c r="CH3" t="s">
        <v>190</v>
      </c>
      <c r="CI3" t="s">
        <v>190</v>
      </c>
      <c r="CJ3" t="s">
        <v>190</v>
      </c>
      <c r="CK3" t="s">
        <v>190</v>
      </c>
      <c r="CL3" t="s">
        <v>190</v>
      </c>
      <c r="CM3" t="s">
        <v>190</v>
      </c>
      <c r="CN3" t="s">
        <v>190</v>
      </c>
      <c r="CO3" t="s">
        <v>190</v>
      </c>
      <c r="CP3" t="s">
        <v>190</v>
      </c>
      <c r="CQ3" t="s">
        <v>190</v>
      </c>
      <c r="CR3" t="s">
        <v>190</v>
      </c>
      <c r="CS3" t="s">
        <v>190</v>
      </c>
      <c r="CT3" t="s">
        <v>190</v>
      </c>
      <c r="CU3" t="s">
        <v>190</v>
      </c>
      <c r="CV3" t="s">
        <v>190</v>
      </c>
      <c r="CW3" t="s">
        <v>190</v>
      </c>
      <c r="CX3" t="s">
        <v>190</v>
      </c>
      <c r="CY3" t="s">
        <v>190</v>
      </c>
      <c r="CZ3" t="s">
        <v>190</v>
      </c>
      <c r="DA3" t="s">
        <v>190</v>
      </c>
      <c r="DB3" t="s">
        <v>190</v>
      </c>
      <c r="DC3" t="s">
        <v>190</v>
      </c>
      <c r="DD3" t="s">
        <v>190</v>
      </c>
      <c r="DE3" t="s">
        <v>190</v>
      </c>
      <c r="DF3" t="s">
        <v>190</v>
      </c>
      <c r="DG3" t="s">
        <v>190</v>
      </c>
      <c r="DH3" t="s">
        <v>190</v>
      </c>
      <c r="DI3" t="s">
        <v>190</v>
      </c>
      <c r="DJ3" t="s">
        <v>190</v>
      </c>
      <c r="DK3" t="s">
        <v>190</v>
      </c>
      <c r="DL3" t="s">
        <v>190</v>
      </c>
      <c r="DM3" t="s">
        <v>190</v>
      </c>
      <c r="DN3" t="s">
        <v>190</v>
      </c>
      <c r="DO3" t="s">
        <v>190</v>
      </c>
      <c r="DP3" t="s">
        <v>190</v>
      </c>
      <c r="DQ3" t="s">
        <v>190</v>
      </c>
      <c r="DR3" t="s">
        <v>190</v>
      </c>
      <c r="DS3" t="s">
        <v>190</v>
      </c>
      <c r="DT3" t="s">
        <v>190</v>
      </c>
      <c r="DU3" t="s">
        <v>190</v>
      </c>
      <c r="DV3" t="s">
        <v>190</v>
      </c>
      <c r="DW3" t="s">
        <v>190</v>
      </c>
      <c r="DX3" t="s">
        <v>190</v>
      </c>
      <c r="DY3" t="s">
        <v>190</v>
      </c>
      <c r="DZ3" t="s">
        <v>190</v>
      </c>
      <c r="EA3" t="s">
        <v>190</v>
      </c>
      <c r="EB3" t="s">
        <v>190</v>
      </c>
      <c r="EC3" t="s">
        <v>190</v>
      </c>
      <c r="ED3" t="s">
        <v>190</v>
      </c>
      <c r="EE3" t="s">
        <v>190</v>
      </c>
      <c r="EF3" t="s">
        <v>190</v>
      </c>
      <c r="EG3" t="s">
        <v>190</v>
      </c>
      <c r="EH3" t="s">
        <v>190</v>
      </c>
      <c r="EI3" t="s">
        <v>190</v>
      </c>
      <c r="EJ3" t="s">
        <v>190</v>
      </c>
      <c r="EK3" t="s">
        <v>190</v>
      </c>
      <c r="EL3" t="s">
        <v>190</v>
      </c>
      <c r="EM3" t="s">
        <v>190</v>
      </c>
      <c r="EN3" t="s">
        <v>190</v>
      </c>
      <c r="EO3" t="s">
        <v>190</v>
      </c>
      <c r="EP3" t="s">
        <v>190</v>
      </c>
      <c r="EQ3" t="s">
        <v>190</v>
      </c>
      <c r="ER3" t="s">
        <v>190</v>
      </c>
      <c r="ES3" t="s">
        <v>190</v>
      </c>
      <c r="ET3" t="s">
        <v>190</v>
      </c>
      <c r="EU3" t="s">
        <v>190</v>
      </c>
      <c r="EV3" t="s">
        <v>190</v>
      </c>
      <c r="EW3" t="s">
        <v>190</v>
      </c>
      <c r="EX3" t="s">
        <v>211</v>
      </c>
      <c r="EY3" t="s">
        <v>190</v>
      </c>
      <c r="EZ3" t="s">
        <v>211</v>
      </c>
      <c r="FA3" t="s">
        <v>211</v>
      </c>
      <c r="FB3" t="s">
        <v>211</v>
      </c>
      <c r="FC3" t="s">
        <v>211</v>
      </c>
      <c r="FD3" t="s">
        <v>190</v>
      </c>
      <c r="FE3" t="s">
        <v>190</v>
      </c>
      <c r="FF3" t="s">
        <v>190</v>
      </c>
      <c r="FG3" t="s">
        <v>190</v>
      </c>
      <c r="FH3" t="s">
        <v>211</v>
      </c>
      <c r="FI3" t="s">
        <v>211</v>
      </c>
      <c r="FJ3" t="s">
        <v>211</v>
      </c>
      <c r="FK3" t="s">
        <v>190</v>
      </c>
      <c r="FL3" t="s">
        <v>190</v>
      </c>
      <c r="FM3" t="s">
        <v>190</v>
      </c>
      <c r="FN3" t="s">
        <v>190</v>
      </c>
      <c r="FO3" t="s">
        <v>190</v>
      </c>
      <c r="FP3" t="s">
        <v>190</v>
      </c>
      <c r="FQ3" t="s">
        <v>190</v>
      </c>
    </row>
    <row r="4" spans="2:173" x14ac:dyDescent="0.35">
      <c r="B4" s="7" t="s">
        <v>112</v>
      </c>
      <c r="C4" s="8" t="s">
        <v>113</v>
      </c>
      <c r="D4" s="9" t="s">
        <v>114</v>
      </c>
      <c r="E4" s="7" t="s">
        <v>2</v>
      </c>
      <c r="F4" s="2" t="s">
        <v>212</v>
      </c>
      <c r="G4" s="2" t="s">
        <v>115</v>
      </c>
      <c r="H4" s="2" t="s">
        <v>74</v>
      </c>
      <c r="I4" s="2" t="s">
        <v>51</v>
      </c>
      <c r="J4" s="2" t="s">
        <v>67</v>
      </c>
      <c r="K4" s="2" t="s">
        <v>102</v>
      </c>
      <c r="L4" s="2" t="s">
        <v>68</v>
      </c>
      <c r="M4" s="2" t="s">
        <v>100</v>
      </c>
      <c r="N4" s="2" t="s">
        <v>66</v>
      </c>
      <c r="O4" s="2" t="s">
        <v>116</v>
      </c>
      <c r="P4" s="2" t="s">
        <v>117</v>
      </c>
      <c r="Q4" s="2" t="s">
        <v>45</v>
      </c>
      <c r="R4" s="2" t="s">
        <v>46</v>
      </c>
      <c r="S4" s="2" t="s">
        <v>47</v>
      </c>
      <c r="T4" s="2" t="s">
        <v>55</v>
      </c>
      <c r="U4" s="2" t="s">
        <v>56</v>
      </c>
      <c r="V4" s="2" t="s">
        <v>118</v>
      </c>
      <c r="W4" s="2" t="s">
        <v>110</v>
      </c>
      <c r="X4" s="2" t="s">
        <v>119</v>
      </c>
      <c r="Y4" s="2" t="s">
        <v>49</v>
      </c>
      <c r="Z4" s="2" t="s">
        <v>8</v>
      </c>
      <c r="AA4" s="2" t="s">
        <v>61</v>
      </c>
      <c r="AB4" s="2" t="s">
        <v>120</v>
      </c>
      <c r="AC4" s="2" t="s">
        <v>37</v>
      </c>
      <c r="AD4" s="2" t="s">
        <v>35</v>
      </c>
      <c r="AE4" s="2" t="s">
        <v>121</v>
      </c>
      <c r="AF4" s="2" t="s">
        <v>122</v>
      </c>
      <c r="AG4" s="2" t="s">
        <v>40</v>
      </c>
      <c r="AH4" s="2" t="s">
        <v>123</v>
      </c>
      <c r="AI4" s="2" t="s">
        <v>48</v>
      </c>
      <c r="AJ4" s="2" t="s">
        <v>76</v>
      </c>
      <c r="AK4" s="2" t="s">
        <v>9</v>
      </c>
      <c r="AL4" s="2" t="s">
        <v>124</v>
      </c>
      <c r="AM4" s="2" t="s">
        <v>125</v>
      </c>
      <c r="AN4" s="2" t="s">
        <v>126</v>
      </c>
      <c r="AO4" s="2" t="s">
        <v>57</v>
      </c>
      <c r="AP4" s="2" t="s">
        <v>99</v>
      </c>
      <c r="AQ4" s="2" t="s">
        <v>109</v>
      </c>
      <c r="AR4" s="2" t="s">
        <v>52</v>
      </c>
      <c r="AS4" s="2" t="s">
        <v>10</v>
      </c>
      <c r="AT4" s="2" t="s">
        <v>11</v>
      </c>
      <c r="AU4" s="2" t="s">
        <v>50</v>
      </c>
      <c r="AV4" s="2" t="s">
        <v>75</v>
      </c>
      <c r="AW4" s="2" t="s">
        <v>12</v>
      </c>
      <c r="AX4" s="2" t="s">
        <v>62</v>
      </c>
      <c r="AY4" s="2" t="s">
        <v>65</v>
      </c>
      <c r="AZ4" s="2" t="s">
        <v>127</v>
      </c>
      <c r="BA4" s="2" t="s">
        <v>107</v>
      </c>
      <c r="BB4" s="2" t="s">
        <v>108</v>
      </c>
      <c r="BC4" s="2" t="s">
        <v>128</v>
      </c>
      <c r="BD4" s="2" t="s">
        <v>31</v>
      </c>
      <c r="BE4" s="2" t="s">
        <v>129</v>
      </c>
      <c r="BF4" s="2" t="s">
        <v>130</v>
      </c>
      <c r="BG4" s="2" t="s">
        <v>131</v>
      </c>
      <c r="BH4" s="2" t="s">
        <v>34</v>
      </c>
      <c r="BI4" s="2" t="s">
        <v>132</v>
      </c>
      <c r="BJ4" s="2" t="s">
        <v>133</v>
      </c>
      <c r="BK4" s="2" t="s">
        <v>134</v>
      </c>
      <c r="BL4" s="2" t="s">
        <v>135</v>
      </c>
      <c r="BM4" s="2" t="s">
        <v>136</v>
      </c>
      <c r="BN4" s="2" t="s">
        <v>137</v>
      </c>
      <c r="BO4" s="2" t="s">
        <v>38</v>
      </c>
      <c r="BP4" s="2" t="s">
        <v>39</v>
      </c>
      <c r="BQ4" s="2" t="s">
        <v>41</v>
      </c>
      <c r="BR4" s="2" t="s">
        <v>43</v>
      </c>
      <c r="BS4" s="2" t="s">
        <v>44</v>
      </c>
      <c r="BT4" s="2" t="s">
        <v>73</v>
      </c>
      <c r="BU4" s="2" t="s">
        <v>138</v>
      </c>
      <c r="BV4" s="2" t="s">
        <v>139</v>
      </c>
      <c r="BW4" s="2" t="s">
        <v>140</v>
      </c>
      <c r="BX4" s="2" t="s">
        <v>141</v>
      </c>
      <c r="BY4" s="2" t="s">
        <v>142</v>
      </c>
      <c r="BZ4" s="2" t="s">
        <v>143</v>
      </c>
      <c r="CA4" s="2" t="s">
        <v>144</v>
      </c>
      <c r="CB4" s="2" t="s">
        <v>145</v>
      </c>
      <c r="CC4" s="2" t="s">
        <v>146</v>
      </c>
      <c r="CD4" s="2" t="s">
        <v>147</v>
      </c>
      <c r="CE4" s="2" t="s">
        <v>77</v>
      </c>
      <c r="CF4" s="2" t="s">
        <v>78</v>
      </c>
      <c r="CG4" s="2" t="s">
        <v>79</v>
      </c>
      <c r="CH4" s="2" t="s">
        <v>80</v>
      </c>
      <c r="CI4" s="2" t="s">
        <v>81</v>
      </c>
      <c r="CJ4" s="2" t="s">
        <v>82</v>
      </c>
      <c r="CK4" s="2" t="s">
        <v>83</v>
      </c>
      <c r="CL4" s="2" t="s">
        <v>84</v>
      </c>
      <c r="CM4" s="2" t="s">
        <v>22</v>
      </c>
      <c r="CN4" s="2" t="s">
        <v>85</v>
      </c>
      <c r="CO4" s="2" t="s">
        <v>86</v>
      </c>
      <c r="CP4" s="2" t="s">
        <v>87</v>
      </c>
      <c r="CQ4" s="2" t="s">
        <v>88</v>
      </c>
      <c r="CR4" s="2" t="s">
        <v>89</v>
      </c>
      <c r="CS4" s="2" t="s">
        <v>23</v>
      </c>
      <c r="CT4" s="2" t="s">
        <v>90</v>
      </c>
      <c r="CU4" s="2" t="s">
        <v>91</v>
      </c>
      <c r="CV4" s="2" t="s">
        <v>92</v>
      </c>
      <c r="CW4" s="2" t="s">
        <v>13</v>
      </c>
      <c r="CX4" s="2" t="s">
        <v>14</v>
      </c>
      <c r="CY4" s="2" t="s">
        <v>3</v>
      </c>
      <c r="CZ4" s="2" t="s">
        <v>4</v>
      </c>
      <c r="DA4" s="2" t="s">
        <v>93</v>
      </c>
      <c r="DB4" s="2" t="s">
        <v>94</v>
      </c>
      <c r="DC4" s="2" t="s">
        <v>95</v>
      </c>
      <c r="DD4" s="2" t="s">
        <v>96</v>
      </c>
      <c r="DE4" s="2" t="s">
        <v>97</v>
      </c>
      <c r="DF4" s="2" t="s">
        <v>98</v>
      </c>
      <c r="DG4" s="2" t="s">
        <v>5</v>
      </c>
      <c r="DH4" s="2" t="s">
        <v>6</v>
      </c>
      <c r="DI4" s="2" t="s">
        <v>15</v>
      </c>
      <c r="DJ4" s="2" t="s">
        <v>148</v>
      </c>
      <c r="DK4" s="2" t="s">
        <v>149</v>
      </c>
      <c r="DL4" s="2" t="s">
        <v>150</v>
      </c>
      <c r="DM4" s="2" t="s">
        <v>59</v>
      </c>
      <c r="DN4" s="2" t="s">
        <v>60</v>
      </c>
      <c r="DO4" s="2" t="s">
        <v>63</v>
      </c>
      <c r="DP4" s="2" t="s">
        <v>64</v>
      </c>
      <c r="DQ4" s="2" t="s">
        <v>71</v>
      </c>
      <c r="DR4" s="2" t="s">
        <v>16</v>
      </c>
      <c r="DS4" s="2" t="s">
        <v>17</v>
      </c>
      <c r="DT4" s="2" t="s">
        <v>18</v>
      </c>
      <c r="DU4" s="2" t="s">
        <v>32</v>
      </c>
      <c r="DV4" s="2" t="s">
        <v>33</v>
      </c>
      <c r="DW4" s="2" t="s">
        <v>151</v>
      </c>
      <c r="DX4" s="2" t="s">
        <v>152</v>
      </c>
      <c r="DY4" s="2" t="s">
        <v>153</v>
      </c>
      <c r="DZ4" s="2" t="s">
        <v>154</v>
      </c>
      <c r="EA4" s="2" t="s">
        <v>155</v>
      </c>
      <c r="EB4" s="2" t="s">
        <v>156</v>
      </c>
      <c r="EC4" s="2" t="s">
        <v>157</v>
      </c>
      <c r="ED4" s="2" t="s">
        <v>158</v>
      </c>
      <c r="EE4" s="2" t="s">
        <v>36</v>
      </c>
      <c r="EF4" s="2" t="s">
        <v>72</v>
      </c>
      <c r="EG4" s="2" t="s">
        <v>7</v>
      </c>
      <c r="EH4" s="2" t="s">
        <v>42</v>
      </c>
      <c r="EI4" s="2" t="s">
        <v>159</v>
      </c>
      <c r="EJ4" s="2" t="s">
        <v>160</v>
      </c>
      <c r="EK4" s="2" t="s">
        <v>161</v>
      </c>
      <c r="EL4" s="2" t="s">
        <v>162</v>
      </c>
      <c r="EM4" s="2" t="s">
        <v>163</v>
      </c>
      <c r="EN4" s="2" t="s">
        <v>164</v>
      </c>
      <c r="EO4" s="2" t="s">
        <v>53</v>
      </c>
      <c r="EP4" s="2" t="s">
        <v>19</v>
      </c>
      <c r="EQ4" s="2" t="s">
        <v>165</v>
      </c>
      <c r="ER4" s="2" t="s">
        <v>54</v>
      </c>
      <c r="ES4" s="2" t="s">
        <v>166</v>
      </c>
      <c r="ET4" s="2" t="s">
        <v>58</v>
      </c>
      <c r="EU4" s="2" t="s">
        <v>69</v>
      </c>
      <c r="EV4" s="2" t="s">
        <v>70</v>
      </c>
      <c r="EW4" s="2" t="s">
        <v>20</v>
      </c>
      <c r="EX4" s="2" t="s">
        <v>24</v>
      </c>
      <c r="EY4" s="2" t="s">
        <v>101</v>
      </c>
      <c r="EZ4" s="2" t="s">
        <v>26</v>
      </c>
      <c r="FA4" s="2" t="s">
        <v>27</v>
      </c>
      <c r="FB4" s="2" t="s">
        <v>28</v>
      </c>
      <c r="FC4" s="2" t="s">
        <v>29</v>
      </c>
      <c r="FD4" s="2" t="s">
        <v>103</v>
      </c>
      <c r="FE4" s="2" t="s">
        <v>104</v>
      </c>
      <c r="FF4" s="2" t="s">
        <v>106</v>
      </c>
      <c r="FG4" s="2" t="s">
        <v>105</v>
      </c>
      <c r="FH4" s="2" t="s">
        <v>25</v>
      </c>
      <c r="FI4" s="2" t="s">
        <v>214</v>
      </c>
      <c r="FJ4" s="2" t="s">
        <v>215</v>
      </c>
      <c r="FK4" s="2" t="s">
        <v>216</v>
      </c>
      <c r="FL4" s="2" t="s">
        <v>217</v>
      </c>
      <c r="FM4" s="2" t="s">
        <v>218</v>
      </c>
      <c r="FN4" s="2" t="s">
        <v>219</v>
      </c>
      <c r="FO4" s="2" t="s">
        <v>220</v>
      </c>
      <c r="FP4" s="2" t="s">
        <v>221</v>
      </c>
      <c r="FQ4" s="2" t="s">
        <v>222</v>
      </c>
    </row>
    <row r="5" spans="2:173" x14ac:dyDescent="0.35">
      <c r="B5" s="10">
        <v>1</v>
      </c>
      <c r="C5" s="10" t="s">
        <v>167</v>
      </c>
      <c r="D5" s="10" t="s">
        <v>168</v>
      </c>
      <c r="E5" s="3" t="s">
        <v>169</v>
      </c>
      <c r="F5" s="6">
        <f t="shared" ref="F5:F24" si="0">SUMIFS(G5:FQ5,$G$3:$FQ$3,"&lt;&gt;Divested")</f>
        <v>3569.8119622852059</v>
      </c>
      <c r="G5" s="4">
        <v>0</v>
      </c>
      <c r="H5" s="4">
        <v>0</v>
      </c>
      <c r="I5" s="4">
        <v>0.35493936000000004</v>
      </c>
      <c r="J5" s="4">
        <v>23.215218585426985</v>
      </c>
      <c r="K5" s="4">
        <v>0</v>
      </c>
      <c r="L5" s="4">
        <v>163.64737079668433</v>
      </c>
      <c r="M5" s="4">
        <v>0</v>
      </c>
      <c r="N5" s="4">
        <v>29.230127496579996</v>
      </c>
      <c r="O5" s="4">
        <v>0</v>
      </c>
      <c r="P5" s="4">
        <v>0</v>
      </c>
      <c r="Q5" s="4">
        <v>61.760190000000001</v>
      </c>
      <c r="R5" s="4">
        <v>1.1126664000000004</v>
      </c>
      <c r="S5" s="4">
        <v>21.293854799999995</v>
      </c>
      <c r="T5" s="4">
        <v>1.3626132</v>
      </c>
      <c r="U5" s="4">
        <v>0.37492019999999993</v>
      </c>
      <c r="V5" s="4">
        <v>0</v>
      </c>
      <c r="W5" s="4">
        <v>0</v>
      </c>
      <c r="X5" s="4">
        <v>0</v>
      </c>
      <c r="Y5" s="4">
        <v>94.775421761320004</v>
      </c>
      <c r="Z5" s="4">
        <v>0</v>
      </c>
      <c r="AA5" s="4">
        <v>98.626926096920016</v>
      </c>
      <c r="AB5" s="4">
        <v>0</v>
      </c>
      <c r="AC5" s="4">
        <v>13.866093502600002</v>
      </c>
      <c r="AD5" s="4">
        <v>37.296299519999998</v>
      </c>
      <c r="AE5" s="4">
        <v>0</v>
      </c>
      <c r="AF5" s="4">
        <v>80.995908379000028</v>
      </c>
      <c r="AG5" s="4">
        <v>30.530982360920003</v>
      </c>
      <c r="AH5" s="4">
        <v>0</v>
      </c>
      <c r="AI5" s="4">
        <v>160.39983739798336</v>
      </c>
      <c r="AJ5" s="4">
        <v>288.19293976443777</v>
      </c>
      <c r="AK5" s="4">
        <v>11.780055813750147</v>
      </c>
      <c r="AL5" s="4">
        <v>0</v>
      </c>
      <c r="AM5" s="4">
        <v>0</v>
      </c>
      <c r="AN5" s="4">
        <v>0</v>
      </c>
      <c r="AO5" s="4">
        <v>33.055464299999997</v>
      </c>
      <c r="AP5" s="4">
        <v>2.0816020482398017</v>
      </c>
      <c r="AQ5" s="4">
        <v>0</v>
      </c>
      <c r="AR5" s="4">
        <v>9.9432714004600005</v>
      </c>
      <c r="AS5" s="4">
        <v>0</v>
      </c>
      <c r="AT5" s="4">
        <v>45.219313095909996</v>
      </c>
      <c r="AU5" s="4">
        <v>9.2409026774399994</v>
      </c>
      <c r="AV5" s="4">
        <v>20.767286960589239</v>
      </c>
      <c r="AW5" s="4">
        <v>0</v>
      </c>
      <c r="AX5" s="4">
        <v>17.069219475800001</v>
      </c>
      <c r="AY5" s="4">
        <v>77.797463183060032</v>
      </c>
      <c r="AZ5" s="4">
        <v>0</v>
      </c>
      <c r="BA5" s="4">
        <v>0</v>
      </c>
      <c r="BB5" s="4">
        <v>4.3531991999999997</v>
      </c>
      <c r="BC5" s="4">
        <v>0</v>
      </c>
      <c r="BD5" s="4">
        <v>52.54311157999998</v>
      </c>
      <c r="BE5" s="4">
        <v>0</v>
      </c>
      <c r="BF5" s="4">
        <v>0</v>
      </c>
      <c r="BG5" s="4">
        <v>0</v>
      </c>
      <c r="BH5" s="4">
        <v>50.01808539999994</v>
      </c>
      <c r="BI5" s="4">
        <v>0</v>
      </c>
      <c r="BJ5" s="4">
        <v>0</v>
      </c>
      <c r="BK5" s="4">
        <v>0</v>
      </c>
      <c r="BL5" s="4">
        <v>0</v>
      </c>
      <c r="BM5" s="4">
        <v>0</v>
      </c>
      <c r="BN5" s="4">
        <v>0</v>
      </c>
      <c r="BO5" s="4">
        <v>42.864302379999998</v>
      </c>
      <c r="BP5" s="4">
        <v>26.415305979999996</v>
      </c>
      <c r="BQ5" s="4">
        <v>18.4370625</v>
      </c>
      <c r="BR5" s="4">
        <v>8.86597744</v>
      </c>
      <c r="BS5" s="4">
        <v>44.535563559999993</v>
      </c>
      <c r="BT5" s="4">
        <v>0</v>
      </c>
      <c r="BU5" s="4">
        <v>0</v>
      </c>
      <c r="BV5" s="4">
        <v>0</v>
      </c>
      <c r="BW5" s="4">
        <v>0</v>
      </c>
      <c r="BX5" s="4">
        <v>0</v>
      </c>
      <c r="BY5" s="4">
        <v>0</v>
      </c>
      <c r="BZ5" s="4">
        <v>0</v>
      </c>
      <c r="CA5" s="4">
        <v>0</v>
      </c>
      <c r="CB5" s="4">
        <v>0</v>
      </c>
      <c r="CC5" s="4">
        <v>0</v>
      </c>
      <c r="CD5" s="4">
        <v>0</v>
      </c>
      <c r="CE5" s="4">
        <v>37.238927282420349</v>
      </c>
      <c r="CF5" s="4">
        <v>6.8209144977763074</v>
      </c>
      <c r="CG5" s="4">
        <v>0.62721052853115467</v>
      </c>
      <c r="CH5" s="4">
        <v>2.4472410800724527</v>
      </c>
      <c r="CI5" s="4">
        <v>86.67229733397464</v>
      </c>
      <c r="CJ5" s="4">
        <v>43.509414547936061</v>
      </c>
      <c r="CK5" s="4">
        <v>89.923814480152359</v>
      </c>
      <c r="CL5" s="4">
        <v>4.8267418935284354</v>
      </c>
      <c r="CM5" s="4">
        <v>39.57995405170616</v>
      </c>
      <c r="CN5" s="4">
        <v>18.157059809563723</v>
      </c>
      <c r="CO5" s="4">
        <v>0.57680968248847253</v>
      </c>
      <c r="CP5" s="4">
        <v>0</v>
      </c>
      <c r="CQ5" s="4">
        <v>0.82752018985871922</v>
      </c>
      <c r="CR5" s="4">
        <v>15.550478191388134</v>
      </c>
      <c r="CS5" s="4">
        <v>56.130275208164086</v>
      </c>
      <c r="CT5" s="4">
        <v>33.433199303225955</v>
      </c>
      <c r="CU5" s="4">
        <v>6.9956961971428404</v>
      </c>
      <c r="CV5" s="4">
        <v>1.5712296139957251</v>
      </c>
      <c r="CW5" s="4">
        <v>0.44944475429989661</v>
      </c>
      <c r="CX5" s="4">
        <v>4.4935864303278965</v>
      </c>
      <c r="CY5" s="4">
        <v>19.400526889139343</v>
      </c>
      <c r="CZ5" s="4">
        <v>4.1004318823960704</v>
      </c>
      <c r="DA5" s="4">
        <v>222.26737932453869</v>
      </c>
      <c r="DB5" s="4">
        <v>13.014020345718452</v>
      </c>
      <c r="DC5" s="4">
        <v>1.3625322737472758</v>
      </c>
      <c r="DD5" s="4">
        <v>7.8849809726551525</v>
      </c>
      <c r="DE5" s="4">
        <v>14.511960601314115</v>
      </c>
      <c r="DF5" s="4">
        <v>0.94241546307348578</v>
      </c>
      <c r="DG5" s="4">
        <v>5.8728319404741205</v>
      </c>
      <c r="DH5" s="4">
        <v>9.7185573892217612</v>
      </c>
      <c r="DI5" s="4">
        <v>10.382480124925708</v>
      </c>
      <c r="DJ5" s="4">
        <v>0</v>
      </c>
      <c r="DK5" s="4">
        <v>0</v>
      </c>
      <c r="DL5" s="4">
        <v>0</v>
      </c>
      <c r="DM5" s="4">
        <v>15.759158289572078</v>
      </c>
      <c r="DN5" s="4">
        <v>1.3882446805511903</v>
      </c>
      <c r="DO5" s="4">
        <v>13.76698702</v>
      </c>
      <c r="DP5" s="4">
        <v>19.434978480000005</v>
      </c>
      <c r="DQ5" s="4">
        <v>20.108879080000001</v>
      </c>
      <c r="DR5" s="4">
        <v>24.435467138911147</v>
      </c>
      <c r="DS5" s="4">
        <v>53.499192877360876</v>
      </c>
      <c r="DT5" s="4">
        <v>25.551283687759319</v>
      </c>
      <c r="DU5" s="4">
        <v>0.1022</v>
      </c>
      <c r="DV5" s="4">
        <v>8.4483127200000006</v>
      </c>
      <c r="DW5" s="4">
        <v>0</v>
      </c>
      <c r="DX5" s="4">
        <v>0</v>
      </c>
      <c r="DY5" s="4">
        <v>0</v>
      </c>
      <c r="DZ5" s="4">
        <v>0</v>
      </c>
      <c r="EA5" s="4">
        <v>0</v>
      </c>
      <c r="EB5" s="4">
        <v>0</v>
      </c>
      <c r="EC5" s="4">
        <v>0</v>
      </c>
      <c r="ED5" s="4">
        <v>0</v>
      </c>
      <c r="EE5" s="4">
        <v>0.1242825</v>
      </c>
      <c r="EF5" s="4">
        <v>0</v>
      </c>
      <c r="EG5" s="4">
        <v>0</v>
      </c>
      <c r="EH5" s="4">
        <v>758.4754625473762</v>
      </c>
      <c r="EI5" s="4">
        <v>0</v>
      </c>
      <c r="EJ5" s="4">
        <v>0</v>
      </c>
      <c r="EK5" s="4">
        <v>0</v>
      </c>
      <c r="EL5" s="4">
        <v>0</v>
      </c>
      <c r="EM5" s="4">
        <v>0</v>
      </c>
      <c r="EN5" s="4">
        <v>0</v>
      </c>
      <c r="EO5" s="4">
        <v>92.956885699999972</v>
      </c>
      <c r="EP5" s="4">
        <v>0</v>
      </c>
      <c r="EQ5" s="4">
        <v>0</v>
      </c>
      <c r="ER5" s="4">
        <v>51.704257500000004</v>
      </c>
      <c r="ES5" s="4">
        <v>0</v>
      </c>
      <c r="ET5" s="4">
        <v>58.374051619560447</v>
      </c>
      <c r="EU5" s="4">
        <v>69.356517552793619</v>
      </c>
      <c r="EV5" s="4">
        <v>21.621806265351644</v>
      </c>
      <c r="EW5" s="4">
        <v>62.670174085091695</v>
      </c>
      <c r="EX5" s="4">
        <v>103.85589557458006</v>
      </c>
      <c r="EY5" s="4">
        <v>0</v>
      </c>
      <c r="EZ5" s="4">
        <v>0</v>
      </c>
      <c r="FA5" s="4">
        <v>0</v>
      </c>
      <c r="FB5" s="4">
        <v>0</v>
      </c>
      <c r="FC5" s="4">
        <v>0</v>
      </c>
      <c r="FD5" s="4">
        <v>0</v>
      </c>
      <c r="FE5" s="4">
        <v>0</v>
      </c>
      <c r="FF5" s="4">
        <v>0</v>
      </c>
      <c r="FG5" s="4">
        <v>0</v>
      </c>
      <c r="FH5" s="4">
        <v>0</v>
      </c>
      <c r="FI5" s="4">
        <v>0</v>
      </c>
      <c r="FJ5" s="4">
        <v>0</v>
      </c>
      <c r="FK5" s="4">
        <v>0</v>
      </c>
      <c r="FL5" s="4">
        <v>0</v>
      </c>
      <c r="FM5" s="4">
        <v>0</v>
      </c>
      <c r="FN5" s="4">
        <v>0</v>
      </c>
      <c r="FO5" s="4">
        <v>0</v>
      </c>
      <c r="FP5" s="4">
        <v>0</v>
      </c>
      <c r="FQ5" s="4">
        <v>0</v>
      </c>
    </row>
    <row r="6" spans="2:173" x14ac:dyDescent="0.35">
      <c r="B6" s="10">
        <v>2</v>
      </c>
      <c r="C6" s="10" t="s">
        <v>167</v>
      </c>
      <c r="D6" s="10" t="s">
        <v>168</v>
      </c>
      <c r="E6" s="3" t="s">
        <v>170</v>
      </c>
      <c r="F6" s="6">
        <f t="shared" si="0"/>
        <v>5849.8031528378397</v>
      </c>
      <c r="G6" s="4">
        <v>0</v>
      </c>
      <c r="H6" s="4">
        <v>16.575523795999999</v>
      </c>
      <c r="I6" s="4">
        <v>170.5869922848</v>
      </c>
      <c r="J6" s="4">
        <v>12.827385962522087</v>
      </c>
      <c r="K6" s="4">
        <v>2.9100266434550512</v>
      </c>
      <c r="L6" s="4">
        <v>74.173077637860999</v>
      </c>
      <c r="M6" s="4">
        <v>5.7781747186767678</v>
      </c>
      <c r="N6" s="4">
        <v>5.8716072000000006</v>
      </c>
      <c r="O6" s="4">
        <v>0</v>
      </c>
      <c r="P6" s="4">
        <v>0</v>
      </c>
      <c r="Q6" s="4">
        <v>21.819768</v>
      </c>
      <c r="R6" s="4">
        <v>12.366228850200002</v>
      </c>
      <c r="S6" s="4">
        <v>9.2125851619999999</v>
      </c>
      <c r="T6" s="4">
        <v>12.193839231800002</v>
      </c>
      <c r="U6" s="4">
        <v>15.8452734</v>
      </c>
      <c r="V6" s="4">
        <v>0</v>
      </c>
      <c r="W6" s="4">
        <v>0</v>
      </c>
      <c r="X6" s="4">
        <v>0</v>
      </c>
      <c r="Y6" s="4">
        <v>36.951818613600004</v>
      </c>
      <c r="Z6" s="4">
        <v>10.830309703826787</v>
      </c>
      <c r="AA6" s="4">
        <v>70.418165770000002</v>
      </c>
      <c r="AB6" s="4">
        <v>0</v>
      </c>
      <c r="AC6" s="4">
        <v>5.7208660200000008</v>
      </c>
      <c r="AD6" s="4">
        <v>26.567119999999996</v>
      </c>
      <c r="AE6" s="4">
        <v>0</v>
      </c>
      <c r="AF6" s="4">
        <v>50.4219224</v>
      </c>
      <c r="AG6" s="4">
        <v>18.791698747359998</v>
      </c>
      <c r="AH6" s="4">
        <v>0</v>
      </c>
      <c r="AI6" s="4">
        <v>63.921341249999998</v>
      </c>
      <c r="AJ6" s="4">
        <v>41.914661892164688</v>
      </c>
      <c r="AK6" s="4">
        <v>6.9336925934629683</v>
      </c>
      <c r="AL6" s="4">
        <v>0</v>
      </c>
      <c r="AM6" s="4">
        <v>0</v>
      </c>
      <c r="AN6" s="4">
        <v>0</v>
      </c>
      <c r="AO6" s="4">
        <v>10.8245211</v>
      </c>
      <c r="AP6" s="4">
        <v>0.79118992979242841</v>
      </c>
      <c r="AQ6" s="4">
        <v>0</v>
      </c>
      <c r="AR6" s="4">
        <v>4.5943199999999997</v>
      </c>
      <c r="AS6" s="4">
        <v>1.7864688337258159</v>
      </c>
      <c r="AT6" s="4">
        <v>18.469957271949301</v>
      </c>
      <c r="AU6" s="4">
        <v>1.2418675087310691</v>
      </c>
      <c r="AV6" s="4">
        <v>4.7324263769758774</v>
      </c>
      <c r="AW6" s="4">
        <v>0.69068282821467986</v>
      </c>
      <c r="AX6" s="4">
        <v>0.62139267000000009</v>
      </c>
      <c r="AY6" s="4">
        <v>14.264854150000001</v>
      </c>
      <c r="AZ6" s="4">
        <v>0</v>
      </c>
      <c r="BA6" s="4">
        <v>0</v>
      </c>
      <c r="BB6" s="4">
        <v>12.427866000000002</v>
      </c>
      <c r="BC6" s="4">
        <v>0</v>
      </c>
      <c r="BD6" s="4">
        <v>29.543037613024499</v>
      </c>
      <c r="BE6" s="4">
        <v>0</v>
      </c>
      <c r="BF6" s="4">
        <v>0</v>
      </c>
      <c r="BG6" s="4">
        <v>0</v>
      </c>
      <c r="BH6" s="4">
        <v>77.189666399999993</v>
      </c>
      <c r="BI6" s="4">
        <v>0</v>
      </c>
      <c r="BJ6" s="4">
        <v>0</v>
      </c>
      <c r="BK6" s="4">
        <v>0</v>
      </c>
      <c r="BL6" s="4">
        <v>0</v>
      </c>
      <c r="BM6" s="4">
        <v>0</v>
      </c>
      <c r="BN6" s="4">
        <v>0</v>
      </c>
      <c r="BO6" s="4">
        <v>21.812412600000002</v>
      </c>
      <c r="BP6" s="4">
        <v>5.4164880000000002</v>
      </c>
      <c r="BQ6" s="4">
        <v>82.084464000000011</v>
      </c>
      <c r="BR6" s="4">
        <v>49.731659999999998</v>
      </c>
      <c r="BS6" s="4">
        <v>20.838114000000001</v>
      </c>
      <c r="BT6" s="4">
        <v>10.017809999999999</v>
      </c>
      <c r="BU6" s="4">
        <v>0</v>
      </c>
      <c r="BV6" s="4">
        <v>0</v>
      </c>
      <c r="BW6" s="4">
        <v>0</v>
      </c>
      <c r="BX6" s="4">
        <v>0</v>
      </c>
      <c r="BY6" s="4">
        <v>0</v>
      </c>
      <c r="BZ6" s="4">
        <v>0</v>
      </c>
      <c r="CA6" s="4">
        <v>0</v>
      </c>
      <c r="CB6" s="4">
        <v>0</v>
      </c>
      <c r="CC6" s="4">
        <v>0</v>
      </c>
      <c r="CD6" s="4">
        <v>0</v>
      </c>
      <c r="CE6" s="4">
        <v>2.9914459442816943</v>
      </c>
      <c r="CF6" s="4">
        <v>0</v>
      </c>
      <c r="CG6" s="4">
        <v>0</v>
      </c>
      <c r="CH6" s="4">
        <v>0</v>
      </c>
      <c r="CI6" s="4">
        <v>16.317971151774053</v>
      </c>
      <c r="CJ6" s="4">
        <v>15.597031684612119</v>
      </c>
      <c r="CK6" s="4">
        <v>45.748465275324534</v>
      </c>
      <c r="CL6" s="4">
        <v>4.9974960638723243</v>
      </c>
      <c r="CM6" s="4">
        <v>18.789619754127308</v>
      </c>
      <c r="CN6" s="4">
        <v>4.3063336530663969</v>
      </c>
      <c r="CO6" s="4">
        <v>0.93918913215884503</v>
      </c>
      <c r="CP6" s="4">
        <v>0</v>
      </c>
      <c r="CQ6" s="4">
        <v>18.683804445237417</v>
      </c>
      <c r="CR6" s="4">
        <v>11.842684442997793</v>
      </c>
      <c r="CS6" s="4">
        <v>13.376938615619864</v>
      </c>
      <c r="CT6" s="4">
        <v>67.112147085128754</v>
      </c>
      <c r="CU6" s="4">
        <v>24.868660631305413</v>
      </c>
      <c r="CV6" s="4">
        <v>18.735192950440943</v>
      </c>
      <c r="CW6" s="4">
        <v>4.7921526753366912</v>
      </c>
      <c r="CX6" s="4">
        <v>5.0830618202906663</v>
      </c>
      <c r="CY6" s="4">
        <v>2.4470069932563439</v>
      </c>
      <c r="CZ6" s="4">
        <v>5.1002111906070811</v>
      </c>
      <c r="DA6" s="4">
        <v>45.47663422112889</v>
      </c>
      <c r="DB6" s="4">
        <v>8.8619526848239545</v>
      </c>
      <c r="DC6" s="4">
        <v>9.817166547975221</v>
      </c>
      <c r="DD6" s="4">
        <v>2.8986175430889527</v>
      </c>
      <c r="DE6" s="4">
        <v>6.5007468963252784</v>
      </c>
      <c r="DF6" s="4">
        <v>4.8534005023976245</v>
      </c>
      <c r="DG6" s="4">
        <v>2.7078077817689388</v>
      </c>
      <c r="DH6" s="4">
        <v>38.777125321765503</v>
      </c>
      <c r="DI6" s="4">
        <v>3.5223487710421866</v>
      </c>
      <c r="DJ6" s="4">
        <v>0</v>
      </c>
      <c r="DK6" s="4">
        <v>0</v>
      </c>
      <c r="DL6" s="4">
        <v>0</v>
      </c>
      <c r="DM6" s="4">
        <v>52.745346404818633</v>
      </c>
      <c r="DN6" s="4">
        <v>9.4470019588364824</v>
      </c>
      <c r="DO6" s="4">
        <v>6.4607004000000003</v>
      </c>
      <c r="DP6" s="4">
        <v>14.6708298</v>
      </c>
      <c r="DQ6" s="4">
        <v>28.247648220000002</v>
      </c>
      <c r="DR6" s="4">
        <v>11.518712504272179</v>
      </c>
      <c r="DS6" s="4">
        <v>128.85158817697962</v>
      </c>
      <c r="DT6" s="4">
        <v>39.656096117592888</v>
      </c>
      <c r="DU6" s="4">
        <v>7.6868576213113045</v>
      </c>
      <c r="DV6" s="4">
        <v>17.295526451736112</v>
      </c>
      <c r="DW6" s="4">
        <v>0</v>
      </c>
      <c r="DX6" s="4">
        <v>0</v>
      </c>
      <c r="DY6" s="4">
        <v>0</v>
      </c>
      <c r="DZ6" s="4">
        <v>0</v>
      </c>
      <c r="EA6" s="4">
        <v>0</v>
      </c>
      <c r="EB6" s="4">
        <v>0</v>
      </c>
      <c r="EC6" s="4">
        <v>0</v>
      </c>
      <c r="ED6" s="4">
        <v>0</v>
      </c>
      <c r="EE6" s="4">
        <v>11.238601201358289</v>
      </c>
      <c r="EF6" s="4">
        <v>66.924308488080882</v>
      </c>
      <c r="EG6" s="4">
        <v>537.95637118425975</v>
      </c>
      <c r="EH6" s="4">
        <v>2459.4222479999989</v>
      </c>
      <c r="EI6" s="4">
        <v>0</v>
      </c>
      <c r="EJ6" s="4">
        <v>0</v>
      </c>
      <c r="EK6" s="4">
        <v>0</v>
      </c>
      <c r="EL6" s="4">
        <v>0</v>
      </c>
      <c r="EM6" s="4">
        <v>0</v>
      </c>
      <c r="EN6" s="4">
        <v>0</v>
      </c>
      <c r="EO6" s="4">
        <v>196.46438452400005</v>
      </c>
      <c r="EP6" s="4">
        <v>0</v>
      </c>
      <c r="EQ6" s="4">
        <v>0</v>
      </c>
      <c r="ER6" s="4">
        <v>307.05323250000004</v>
      </c>
      <c r="ES6" s="4">
        <v>0</v>
      </c>
      <c r="ET6" s="4">
        <v>41.254310400000008</v>
      </c>
      <c r="EU6" s="4">
        <v>333.49013050000002</v>
      </c>
      <c r="EV6" s="4">
        <v>61.749431999999999</v>
      </c>
      <c r="EW6" s="4">
        <v>44.919142402677579</v>
      </c>
      <c r="EX6" s="4">
        <v>14.226167080182336</v>
      </c>
      <c r="EY6" s="4">
        <v>31.808150000000001</v>
      </c>
      <c r="EZ6" s="4">
        <v>4.7035848210247524</v>
      </c>
      <c r="FA6" s="4">
        <v>7.2743567651568091</v>
      </c>
      <c r="FB6" s="4">
        <v>1.4572014180858948</v>
      </c>
      <c r="FC6" s="4">
        <v>0.480019404372658</v>
      </c>
      <c r="FD6" s="4">
        <v>2.1409774044188432</v>
      </c>
      <c r="FE6" s="4">
        <v>0.33060335836274124</v>
      </c>
      <c r="FF6" s="4">
        <v>0.24364672724544767</v>
      </c>
      <c r="FG6" s="4">
        <v>0.59971415199315281</v>
      </c>
      <c r="FH6" s="4">
        <v>1.382537938636849</v>
      </c>
      <c r="FI6" s="4">
        <v>0</v>
      </c>
      <c r="FJ6" s="4">
        <v>0</v>
      </c>
      <c r="FK6" s="4">
        <v>0</v>
      </c>
      <c r="FL6" s="4">
        <v>0</v>
      </c>
      <c r="FM6" s="4">
        <v>0</v>
      </c>
      <c r="FN6" s="4">
        <v>0</v>
      </c>
      <c r="FO6" s="4">
        <v>0</v>
      </c>
      <c r="FP6" s="4">
        <v>0</v>
      </c>
      <c r="FQ6" s="4">
        <v>0</v>
      </c>
    </row>
    <row r="7" spans="2:173" x14ac:dyDescent="0.35">
      <c r="B7" s="10">
        <v>2</v>
      </c>
      <c r="C7" s="10"/>
      <c r="D7" s="10" t="s">
        <v>168</v>
      </c>
      <c r="E7" s="3" t="s">
        <v>171</v>
      </c>
      <c r="F7" s="6">
        <f t="shared" si="0"/>
        <v>5618.5538813171752</v>
      </c>
      <c r="G7" s="4">
        <v>0</v>
      </c>
      <c r="H7" s="4">
        <v>16.665555266999998</v>
      </c>
      <c r="I7" s="4">
        <v>171.51355110959994</v>
      </c>
      <c r="J7" s="4">
        <v>30.649054038643783</v>
      </c>
      <c r="K7" s="4">
        <v>2.9258327188819209</v>
      </c>
      <c r="L7" s="4">
        <v>74.575955481754235</v>
      </c>
      <c r="M7" s="4">
        <v>5.8095594022632389</v>
      </c>
      <c r="N7" s="4">
        <v>6.649595154</v>
      </c>
      <c r="O7" s="4">
        <v>0</v>
      </c>
      <c r="P7" s="4">
        <v>0</v>
      </c>
      <c r="Q7" s="4">
        <v>23.454887999999997</v>
      </c>
      <c r="R7" s="4">
        <v>13.292923768199994</v>
      </c>
      <c r="S7" s="4">
        <v>9.9029537419999993</v>
      </c>
      <c r="T7" s="4">
        <v>13.1076156938</v>
      </c>
      <c r="U7" s="4">
        <v>17.032679399999999</v>
      </c>
      <c r="V7" s="4">
        <v>0</v>
      </c>
      <c r="W7" s="4">
        <v>0</v>
      </c>
      <c r="X7" s="4">
        <v>0</v>
      </c>
      <c r="Y7" s="4">
        <v>6.7506250660000013</v>
      </c>
      <c r="Z7" s="4">
        <v>1.8473382575240853</v>
      </c>
      <c r="AA7" s="4">
        <v>13.677815200000003</v>
      </c>
      <c r="AB7" s="4">
        <v>0</v>
      </c>
      <c r="AC7" s="4">
        <v>6.3015509999999999</v>
      </c>
      <c r="AD7" s="4">
        <v>14.813500000000001</v>
      </c>
      <c r="AE7" s="4">
        <v>0</v>
      </c>
      <c r="AF7" s="4">
        <v>28.114644999999999</v>
      </c>
      <c r="AG7" s="4">
        <v>10.478020553</v>
      </c>
      <c r="AH7" s="4">
        <v>0</v>
      </c>
      <c r="AI7" s="4">
        <v>32.975962500000001</v>
      </c>
      <c r="AJ7" s="4">
        <v>33.534076687904061</v>
      </c>
      <c r="AK7" s="4">
        <v>4.3328164523268837</v>
      </c>
      <c r="AL7" s="4">
        <v>0</v>
      </c>
      <c r="AM7" s="4">
        <v>0</v>
      </c>
      <c r="AN7" s="4">
        <v>0</v>
      </c>
      <c r="AO7" s="4">
        <v>8.8399215000000009</v>
      </c>
      <c r="AP7" s="4">
        <v>1.2447481235203806</v>
      </c>
      <c r="AQ7" s="4">
        <v>0</v>
      </c>
      <c r="AR7" s="4">
        <v>4.33908</v>
      </c>
      <c r="AS7" s="4">
        <v>2.0890564341729447E-2</v>
      </c>
      <c r="AT7" s="4">
        <v>250.67668409417527</v>
      </c>
      <c r="AU7" s="4">
        <v>0.20581648650508388</v>
      </c>
      <c r="AV7" s="4">
        <v>0.78371318627171882</v>
      </c>
      <c r="AW7" s="4">
        <v>0.11438048833401809</v>
      </c>
      <c r="AX7" s="4">
        <v>0.1029843</v>
      </c>
      <c r="AY7" s="4">
        <v>17.7286438</v>
      </c>
      <c r="AZ7" s="4">
        <v>0</v>
      </c>
      <c r="BA7" s="4">
        <v>0</v>
      </c>
      <c r="BB7" s="4">
        <v>12.13788246</v>
      </c>
      <c r="BC7" s="4">
        <v>0</v>
      </c>
      <c r="BD7" s="4">
        <v>28.853700068720592</v>
      </c>
      <c r="BE7" s="4">
        <v>0</v>
      </c>
      <c r="BF7" s="4">
        <v>0</v>
      </c>
      <c r="BG7" s="4">
        <v>0</v>
      </c>
      <c r="BH7" s="4">
        <v>75.388574183999992</v>
      </c>
      <c r="BI7" s="4">
        <v>0</v>
      </c>
      <c r="BJ7" s="4">
        <v>0</v>
      </c>
      <c r="BK7" s="4">
        <v>0</v>
      </c>
      <c r="BL7" s="4">
        <v>0</v>
      </c>
      <c r="BM7" s="4">
        <v>0</v>
      </c>
      <c r="BN7" s="4">
        <v>0</v>
      </c>
      <c r="BO7" s="4">
        <v>21.303456306000001</v>
      </c>
      <c r="BP7" s="4">
        <v>5.2901032800000003</v>
      </c>
      <c r="BQ7" s="4">
        <v>80.169159839999992</v>
      </c>
      <c r="BR7" s="4">
        <v>48.571254600000003</v>
      </c>
      <c r="BS7" s="4">
        <v>20.351891339999998</v>
      </c>
      <c r="BT7" s="4">
        <v>9.7840611000000024</v>
      </c>
      <c r="BU7" s="4">
        <v>0</v>
      </c>
      <c r="BV7" s="4">
        <v>0</v>
      </c>
      <c r="BW7" s="4">
        <v>0</v>
      </c>
      <c r="BX7" s="4">
        <v>0</v>
      </c>
      <c r="BY7" s="4">
        <v>0</v>
      </c>
      <c r="BZ7" s="4">
        <v>0</v>
      </c>
      <c r="CA7" s="4">
        <v>0</v>
      </c>
      <c r="CB7" s="4">
        <v>0</v>
      </c>
      <c r="CC7" s="4">
        <v>0</v>
      </c>
      <c r="CD7" s="4">
        <v>0</v>
      </c>
      <c r="CE7" s="4">
        <v>1.9479866788897766</v>
      </c>
      <c r="CF7" s="4">
        <v>0</v>
      </c>
      <c r="CG7" s="4">
        <v>0</v>
      </c>
      <c r="CH7" s="4">
        <v>0</v>
      </c>
      <c r="CI7" s="4">
        <v>8.698756975183489</v>
      </c>
      <c r="CJ7" s="4">
        <v>8.3144397607252376</v>
      </c>
      <c r="CK7" s="4">
        <v>24.387515930520827</v>
      </c>
      <c r="CL7" s="4">
        <v>2.6640569063228936</v>
      </c>
      <c r="CM7" s="4">
        <v>10.016339309405561</v>
      </c>
      <c r="CN7" s="4">
        <v>2.2956131956395911</v>
      </c>
      <c r="CO7" s="4">
        <v>0.50066138359946055</v>
      </c>
      <c r="CP7" s="4">
        <v>0</v>
      </c>
      <c r="CQ7" s="4">
        <v>9.9599314601866951</v>
      </c>
      <c r="CR7" s="4">
        <v>6.3130785650533712</v>
      </c>
      <c r="CS7" s="4">
        <v>7.1309562326670708</v>
      </c>
      <c r="CT7" s="4">
        <v>35.776031967848851</v>
      </c>
      <c r="CU7" s="4">
        <v>13.256944329535747</v>
      </c>
      <c r="CV7" s="4">
        <v>9.9873255592401655</v>
      </c>
      <c r="CW7" s="4">
        <v>2.5545927936143751</v>
      </c>
      <c r="CX7" s="4">
        <v>2.7096701577227149</v>
      </c>
      <c r="CY7" s="4">
        <v>1.3044464261476061</v>
      </c>
      <c r="CZ7" s="4">
        <v>2.7188121155845355</v>
      </c>
      <c r="DA7" s="4">
        <v>24.242608683365965</v>
      </c>
      <c r="DB7" s="4">
        <v>6.1724790723743981</v>
      </c>
      <c r="DC7" s="4">
        <v>5.2333188477572019</v>
      </c>
      <c r="DD7" s="4">
        <v>1.5451902284183781</v>
      </c>
      <c r="DE7" s="4">
        <v>3.4654073648220725</v>
      </c>
      <c r="DF7" s="4">
        <v>2.5872426835979838</v>
      </c>
      <c r="DG7" s="4">
        <v>1.4434736775814121</v>
      </c>
      <c r="DH7" s="4">
        <v>20.671245599891876</v>
      </c>
      <c r="DI7" s="4">
        <v>1.8776878360764284</v>
      </c>
      <c r="DJ7" s="4">
        <v>0</v>
      </c>
      <c r="DK7" s="4">
        <v>0</v>
      </c>
      <c r="DL7" s="4">
        <v>0</v>
      </c>
      <c r="DM7" s="4">
        <v>28.117401708821113</v>
      </c>
      <c r="DN7" s="4">
        <v>5.03599212301995</v>
      </c>
      <c r="DO7" s="4">
        <v>6.3099507240000001</v>
      </c>
      <c r="DP7" s="4">
        <v>14.328510438</v>
      </c>
      <c r="DQ7" s="4">
        <v>27.588536428199998</v>
      </c>
      <c r="DR7" s="4">
        <v>20.769900536251747</v>
      </c>
      <c r="DS7" s="4">
        <v>129.79572988718141</v>
      </c>
      <c r="DT7" s="4">
        <v>38.057094607437705</v>
      </c>
      <c r="DU7" s="4">
        <v>7.8186859247133489</v>
      </c>
      <c r="DV7" s="4">
        <v>17.409151754444448</v>
      </c>
      <c r="DW7" s="4">
        <v>0</v>
      </c>
      <c r="DX7" s="4">
        <v>0</v>
      </c>
      <c r="DY7" s="4">
        <v>0</v>
      </c>
      <c r="DZ7" s="4">
        <v>0</v>
      </c>
      <c r="EA7" s="4">
        <v>0</v>
      </c>
      <c r="EB7" s="4">
        <v>0</v>
      </c>
      <c r="EC7" s="4">
        <v>0</v>
      </c>
      <c r="ED7" s="4">
        <v>0</v>
      </c>
      <c r="EE7" s="4">
        <v>11.029765701601132</v>
      </c>
      <c r="EF7" s="4">
        <v>65.724790827748066</v>
      </c>
      <c r="EG7" s="4">
        <v>532.12386400780906</v>
      </c>
      <c r="EH7" s="4">
        <v>2418.8406932000003</v>
      </c>
      <c r="EI7" s="4">
        <v>0</v>
      </c>
      <c r="EJ7" s="4">
        <v>0</v>
      </c>
      <c r="EK7" s="4">
        <v>0</v>
      </c>
      <c r="EL7" s="4">
        <v>0</v>
      </c>
      <c r="EM7" s="4">
        <v>0</v>
      </c>
      <c r="EN7" s="4">
        <v>0</v>
      </c>
      <c r="EO7" s="4">
        <v>199.31798445200002</v>
      </c>
      <c r="EP7" s="4">
        <v>0</v>
      </c>
      <c r="EQ7" s="4">
        <v>0</v>
      </c>
      <c r="ER7" s="4">
        <v>283.94616030000003</v>
      </c>
      <c r="ES7" s="4">
        <v>0</v>
      </c>
      <c r="ET7" s="4">
        <v>39.884993600000001</v>
      </c>
      <c r="EU7" s="4">
        <v>313.87253780000003</v>
      </c>
      <c r="EV7" s="4">
        <v>63.687959999999997</v>
      </c>
      <c r="EW7" s="4">
        <v>44.072058868002053</v>
      </c>
      <c r="EX7" s="4">
        <v>7.9323361373864021</v>
      </c>
      <c r="EY7" s="4">
        <v>32.027225999999999</v>
      </c>
      <c r="EZ7" s="4">
        <v>1.2017781208912954</v>
      </c>
      <c r="FA7" s="4">
        <v>7.2743567651568091</v>
      </c>
      <c r="FB7" s="4">
        <v>0.53456724637297348</v>
      </c>
      <c r="FC7" s="4">
        <v>6.2209016696721839E-2</v>
      </c>
      <c r="FD7" s="4">
        <v>2.1526063186824218</v>
      </c>
      <c r="FE7" s="4">
        <v>0.32288928000094397</v>
      </c>
      <c r="FF7" s="4">
        <v>0.23796163694305381</v>
      </c>
      <c r="FG7" s="4">
        <v>0.58572082177997919</v>
      </c>
      <c r="FH7" s="4">
        <v>1.3502787200686557</v>
      </c>
      <c r="FI7" s="4">
        <v>0</v>
      </c>
      <c r="FJ7" s="4">
        <v>0</v>
      </c>
      <c r="FK7" s="4">
        <v>0</v>
      </c>
      <c r="FL7" s="4">
        <v>0</v>
      </c>
      <c r="FM7" s="4">
        <v>0</v>
      </c>
      <c r="FN7" s="4">
        <v>0</v>
      </c>
      <c r="FO7" s="4">
        <v>0</v>
      </c>
      <c r="FP7" s="4">
        <v>0</v>
      </c>
      <c r="FQ7" s="4">
        <v>0</v>
      </c>
    </row>
    <row r="8" spans="2:173" x14ac:dyDescent="0.35">
      <c r="B8" s="11">
        <v>3</v>
      </c>
      <c r="C8" s="11">
        <v>1</v>
      </c>
      <c r="D8" s="12" t="s">
        <v>172</v>
      </c>
      <c r="E8" s="3" t="s">
        <v>173</v>
      </c>
      <c r="F8" s="6">
        <f t="shared" si="0"/>
        <v>154151.64044865154</v>
      </c>
      <c r="G8" s="4">
        <v>3.2269330629423183</v>
      </c>
      <c r="H8" s="4">
        <v>2619.9630104974881</v>
      </c>
      <c r="I8" s="4">
        <v>7153.3533079065019</v>
      </c>
      <c r="J8" s="4">
        <v>937.57984463055129</v>
      </c>
      <c r="K8" s="4">
        <v>63.261552213792356</v>
      </c>
      <c r="L8" s="4">
        <v>1709.3097032841004</v>
      </c>
      <c r="M8" s="4">
        <v>38.997189968122882</v>
      </c>
      <c r="N8" s="4">
        <v>1090.055617506194</v>
      </c>
      <c r="O8" s="4">
        <v>0</v>
      </c>
      <c r="P8" s="4">
        <v>-8.9191836177827071</v>
      </c>
      <c r="Q8" s="4">
        <v>8311.5880662809486</v>
      </c>
      <c r="R8" s="4">
        <v>5680.3414336237429</v>
      </c>
      <c r="S8" s="4">
        <v>5630.0725428914957</v>
      </c>
      <c r="T8" s="4">
        <v>1139.780370912626</v>
      </c>
      <c r="U8" s="4">
        <v>1314.4504459311872</v>
      </c>
      <c r="V8" s="4">
        <v>0.29696119989441278</v>
      </c>
      <c r="W8" s="4">
        <v>151.73144345109779</v>
      </c>
      <c r="X8" s="4">
        <v>-63.059566037316195</v>
      </c>
      <c r="Y8" s="4">
        <v>2751.2970091760085</v>
      </c>
      <c r="Z8" s="4">
        <v>316.49290955718618</v>
      </c>
      <c r="AA8" s="4">
        <v>1108.2225163409551</v>
      </c>
      <c r="AB8" s="4">
        <v>0</v>
      </c>
      <c r="AC8" s="4">
        <v>821.14603993347157</v>
      </c>
      <c r="AD8" s="4">
        <v>442.83037661502891</v>
      </c>
      <c r="AE8" s="4">
        <v>0</v>
      </c>
      <c r="AF8" s="4">
        <v>1948.2789603030201</v>
      </c>
      <c r="AG8" s="4">
        <v>1937.9680458131834</v>
      </c>
      <c r="AH8" s="4">
        <v>18.585309510816284</v>
      </c>
      <c r="AI8" s="4">
        <v>2398.7292454351764</v>
      </c>
      <c r="AJ8" s="4">
        <v>4200.2219742683501</v>
      </c>
      <c r="AK8" s="4">
        <v>899.77398828850971</v>
      </c>
      <c r="AL8" s="4">
        <v>0</v>
      </c>
      <c r="AM8" s="4">
        <v>0</v>
      </c>
      <c r="AN8" s="4">
        <v>5.4685527599561761</v>
      </c>
      <c r="AO8" s="4">
        <v>93.937309899261265</v>
      </c>
      <c r="AP8" s="4">
        <v>138.2467583807022</v>
      </c>
      <c r="AQ8" s="4">
        <v>404.58737694816034</v>
      </c>
      <c r="AR8" s="4">
        <v>892.69114346807351</v>
      </c>
      <c r="AS8" s="4">
        <v>63.360117461693996</v>
      </c>
      <c r="AT8" s="4">
        <v>3218.7646613936158</v>
      </c>
      <c r="AU8" s="4">
        <v>163.20592041873689</v>
      </c>
      <c r="AV8" s="4">
        <v>1907.0474971827261</v>
      </c>
      <c r="AW8" s="4">
        <v>146.56121741022542</v>
      </c>
      <c r="AX8" s="4">
        <v>513.31352691218524</v>
      </c>
      <c r="AY8" s="4">
        <v>2068.4346811457713</v>
      </c>
      <c r="AZ8" s="4">
        <v>0</v>
      </c>
      <c r="BA8" s="4">
        <v>3.631083488109037</v>
      </c>
      <c r="BB8" s="4">
        <v>1528.303921781599</v>
      </c>
      <c r="BC8" s="4">
        <v>0.89774055118138341</v>
      </c>
      <c r="BD8" s="4">
        <v>1462.6436112246611</v>
      </c>
      <c r="BE8" s="4">
        <v>-5.6716947780046638</v>
      </c>
      <c r="BF8" s="4">
        <v>24.683159995647113</v>
      </c>
      <c r="BG8" s="4">
        <v>129.09257513883361</v>
      </c>
      <c r="BH8" s="4">
        <v>2177.9463750481777</v>
      </c>
      <c r="BI8" s="4">
        <v>0</v>
      </c>
      <c r="BJ8" s="4">
        <v>0</v>
      </c>
      <c r="BK8" s="4">
        <v>0</v>
      </c>
      <c r="BL8" s="4">
        <v>0</v>
      </c>
      <c r="BM8" s="4">
        <v>0</v>
      </c>
      <c r="BN8" s="4">
        <v>764.70508493580815</v>
      </c>
      <c r="BO8" s="4">
        <v>3557.4665688087262</v>
      </c>
      <c r="BP8" s="4">
        <v>1089.1778062827336</v>
      </c>
      <c r="BQ8" s="4">
        <v>1466.4461113692969</v>
      </c>
      <c r="BR8" s="4">
        <v>2213.2394200217695</v>
      </c>
      <c r="BS8" s="4">
        <v>1421.8289469279744</v>
      </c>
      <c r="BT8" s="4">
        <v>3188.8431045981401</v>
      </c>
      <c r="BU8" s="4">
        <v>652.90835203659378</v>
      </c>
      <c r="BV8" s="4">
        <v>5.0545147882172702E-2</v>
      </c>
      <c r="BW8" s="4">
        <v>0.46098603818157063</v>
      </c>
      <c r="BX8" s="4">
        <v>5.0264780265013814E-4</v>
      </c>
      <c r="BY8" s="4">
        <v>0</v>
      </c>
      <c r="BZ8" s="4">
        <v>99.22186974439559</v>
      </c>
      <c r="CA8" s="4">
        <v>469.03924732048523</v>
      </c>
      <c r="CB8" s="4">
        <v>0</v>
      </c>
      <c r="CC8" s="4">
        <v>0</v>
      </c>
      <c r="CD8" s="4">
        <v>0</v>
      </c>
      <c r="CE8" s="4">
        <v>649.39870518481234</v>
      </c>
      <c r="CF8" s="4">
        <v>-4.3620539156231784E-2</v>
      </c>
      <c r="CG8" s="4">
        <v>0</v>
      </c>
      <c r="CH8" s="4">
        <v>0</v>
      </c>
      <c r="CI8" s="4">
        <v>243.60654577967304</v>
      </c>
      <c r="CJ8" s="4">
        <v>302.94137808178971</v>
      </c>
      <c r="CK8" s="4">
        <v>911.92881026443388</v>
      </c>
      <c r="CL8" s="4">
        <v>238.87407878590639</v>
      </c>
      <c r="CM8" s="4">
        <v>255.69256260794353</v>
      </c>
      <c r="CN8" s="4">
        <v>146.07426258944139</v>
      </c>
      <c r="CO8" s="4">
        <v>11.399286889711023</v>
      </c>
      <c r="CP8" s="4">
        <v>0</v>
      </c>
      <c r="CQ8" s="4">
        <v>519.87299642844494</v>
      </c>
      <c r="CR8" s="4">
        <v>313.82990120054728</v>
      </c>
      <c r="CS8" s="4">
        <v>353.19775553251117</v>
      </c>
      <c r="CT8" s="4">
        <v>917.53714867653616</v>
      </c>
      <c r="CU8" s="4">
        <v>-26.756124999123465</v>
      </c>
      <c r="CV8" s="4">
        <v>176.28728476832003</v>
      </c>
      <c r="CW8" s="4">
        <v>282.10000654972691</v>
      </c>
      <c r="CX8" s="4">
        <v>159.077622135013</v>
      </c>
      <c r="CY8" s="4">
        <v>341.63222287221254</v>
      </c>
      <c r="CZ8" s="4">
        <v>56.246826754932982</v>
      </c>
      <c r="DA8" s="4">
        <v>1359.5527022900983</v>
      </c>
      <c r="DB8" s="4">
        <v>102.77306900775213</v>
      </c>
      <c r="DC8" s="4">
        <v>129.65469507815641</v>
      </c>
      <c r="DD8" s="4">
        <v>70.608799944023573</v>
      </c>
      <c r="DE8" s="4">
        <v>159.12500059156321</v>
      </c>
      <c r="DF8" s="4">
        <v>96.585703529859543</v>
      </c>
      <c r="DG8" s="4">
        <v>62.327421258406872</v>
      </c>
      <c r="DH8" s="4">
        <v>658.42846487899885</v>
      </c>
      <c r="DI8" s="4">
        <v>26.768079273507116</v>
      </c>
      <c r="DJ8" s="4">
        <v>0.58606816550242169</v>
      </c>
      <c r="DK8" s="4">
        <v>1.9332607794236083E-4</v>
      </c>
      <c r="DL8" s="4">
        <v>0</v>
      </c>
      <c r="DM8" s="4">
        <v>461.58492363823734</v>
      </c>
      <c r="DN8" s="4">
        <v>79.104108911044307</v>
      </c>
      <c r="DO8" s="4">
        <v>56.74544415521428</v>
      </c>
      <c r="DP8" s="4">
        <v>605.31679657703876</v>
      </c>
      <c r="DQ8" s="4">
        <v>170.60066329745069</v>
      </c>
      <c r="DR8" s="4">
        <v>452.87973325515128</v>
      </c>
      <c r="DS8" s="4">
        <v>1070.0336732882195</v>
      </c>
      <c r="DT8" s="4">
        <v>365.45567703801549</v>
      </c>
      <c r="DU8" s="4">
        <v>1240.5023572846417</v>
      </c>
      <c r="DV8" s="4">
        <v>613.06327662713989</v>
      </c>
      <c r="DW8" s="4">
        <v>0</v>
      </c>
      <c r="DX8" s="4">
        <v>0</v>
      </c>
      <c r="DY8" s="4">
        <v>0</v>
      </c>
      <c r="DZ8" s="4">
        <v>0</v>
      </c>
      <c r="EA8" s="4">
        <v>0</v>
      </c>
      <c r="EB8" s="4">
        <v>0</v>
      </c>
      <c r="EC8" s="4">
        <v>0</v>
      </c>
      <c r="ED8" s="4">
        <v>0</v>
      </c>
      <c r="EE8" s="4">
        <v>326.86715712876259</v>
      </c>
      <c r="EF8" s="4">
        <v>1708.9756581900178</v>
      </c>
      <c r="EG8" s="4">
        <v>9093.4549691500215</v>
      </c>
      <c r="EH8" s="4">
        <v>3171.6578604449151</v>
      </c>
      <c r="EI8" s="4">
        <v>633.9693157331194</v>
      </c>
      <c r="EJ8" s="4">
        <v>-26.842556132914098</v>
      </c>
      <c r="EK8" s="4">
        <v>0</v>
      </c>
      <c r="EL8" s="4">
        <v>-8.10556366642024</v>
      </c>
      <c r="EM8" s="4">
        <v>0</v>
      </c>
      <c r="EN8" s="4">
        <v>8.10556366642024</v>
      </c>
      <c r="EO8" s="4">
        <v>22155.43361679139</v>
      </c>
      <c r="EP8" s="4">
        <v>136.72324895280039</v>
      </c>
      <c r="EQ8" s="4">
        <v>151.78746576212347</v>
      </c>
      <c r="ER8" s="4">
        <v>11777.626587440454</v>
      </c>
      <c r="ES8" s="4">
        <v>0</v>
      </c>
      <c r="ET8" s="4">
        <v>1420.1594145782376</v>
      </c>
      <c r="EU8" s="4">
        <v>10716.976093847217</v>
      </c>
      <c r="EV8" s="4">
        <v>350.56029985134745</v>
      </c>
      <c r="EW8" s="4">
        <v>1010.4558178862509</v>
      </c>
      <c r="EX8" s="4">
        <v>623.00849497786692</v>
      </c>
      <c r="EY8" s="4">
        <v>0</v>
      </c>
      <c r="EZ8" s="4">
        <v>158.17204895516579</v>
      </c>
      <c r="FA8" s="4">
        <v>241.55886516269666</v>
      </c>
      <c r="FB8" s="4">
        <v>48.787275491897873</v>
      </c>
      <c r="FC8" s="4">
        <v>13.863831606680723</v>
      </c>
      <c r="FD8" s="4">
        <v>24.225315744002362</v>
      </c>
      <c r="FE8" s="4">
        <v>10.98517104546935</v>
      </c>
      <c r="FF8" s="4">
        <v>8.9040878790789506</v>
      </c>
      <c r="FG8" s="4">
        <v>16.599828983836431</v>
      </c>
      <c r="FH8" s="4">
        <v>28.012808066334866</v>
      </c>
      <c r="FI8" s="4">
        <v>7.2238240995916398E-3</v>
      </c>
      <c r="FJ8" s="4">
        <v>0</v>
      </c>
      <c r="FK8" s="4">
        <v>-1.1320571880003847</v>
      </c>
      <c r="FL8" s="4">
        <v>2.3874245846988789</v>
      </c>
      <c r="FM8" s="4">
        <v>8.4635660856754391E-2</v>
      </c>
      <c r="FN8" s="4">
        <v>0.58411304507950756</v>
      </c>
      <c r="FO8" s="4">
        <v>1.3551280792717828</v>
      </c>
      <c r="FP8" s="4">
        <v>-4.2208500995051077</v>
      </c>
      <c r="FQ8" s="4">
        <v>2.4447463456368258E-3</v>
      </c>
    </row>
    <row r="9" spans="2:173" x14ac:dyDescent="0.35">
      <c r="B9" s="11">
        <v>3</v>
      </c>
      <c r="C9" s="11">
        <v>2</v>
      </c>
      <c r="D9" s="12" t="s">
        <v>172</v>
      </c>
      <c r="E9" s="3" t="s">
        <v>174</v>
      </c>
      <c r="F9" s="6">
        <f t="shared" si="0"/>
        <v>5971.4072272491885</v>
      </c>
      <c r="G9" s="4">
        <v>0</v>
      </c>
      <c r="H9" s="4">
        <v>33.006962682244158</v>
      </c>
      <c r="I9" s="4">
        <v>305.60767495969048</v>
      </c>
      <c r="J9" s="4">
        <v>25.786914618336386</v>
      </c>
      <c r="K9" s="4">
        <v>0</v>
      </c>
      <c r="L9" s="4">
        <v>90.571407448774536</v>
      </c>
      <c r="M9" s="4">
        <v>0</v>
      </c>
      <c r="N9" s="4">
        <v>12.098100627704547</v>
      </c>
      <c r="O9" s="4">
        <v>0</v>
      </c>
      <c r="P9" s="4">
        <v>2.3684886582681144</v>
      </c>
      <c r="Q9" s="4">
        <v>82.263382193323949</v>
      </c>
      <c r="R9" s="4">
        <v>115.94725345215775</v>
      </c>
      <c r="S9" s="4">
        <v>2339.7119773809063</v>
      </c>
      <c r="T9" s="4">
        <v>36.824509668782703</v>
      </c>
      <c r="U9" s="4">
        <v>2.7611816069446729</v>
      </c>
      <c r="V9" s="4">
        <v>0</v>
      </c>
      <c r="W9" s="4">
        <v>0</v>
      </c>
      <c r="X9" s="4">
        <v>0</v>
      </c>
      <c r="Y9" s="4">
        <v>95.003086399631272</v>
      </c>
      <c r="Z9" s="4">
        <v>2.7914662043340539</v>
      </c>
      <c r="AA9" s="4">
        <v>21.161681227972107</v>
      </c>
      <c r="AB9" s="4">
        <v>0</v>
      </c>
      <c r="AC9" s="4">
        <v>13.513405924588088</v>
      </c>
      <c r="AD9" s="4">
        <v>14.565131324331077</v>
      </c>
      <c r="AE9" s="4">
        <v>0</v>
      </c>
      <c r="AF9" s="4">
        <v>32.962959667717875</v>
      </c>
      <c r="AG9" s="4">
        <v>5.2841780851526376</v>
      </c>
      <c r="AH9" s="4">
        <v>0</v>
      </c>
      <c r="AI9" s="4">
        <v>77.498658178306343</v>
      </c>
      <c r="AJ9" s="4">
        <v>34.818838156112896</v>
      </c>
      <c r="AK9" s="4">
        <v>1.7017103192350316</v>
      </c>
      <c r="AL9" s="4">
        <v>0</v>
      </c>
      <c r="AM9" s="4">
        <v>0</v>
      </c>
      <c r="AN9" s="4">
        <v>0</v>
      </c>
      <c r="AO9" s="4">
        <v>2.1139674389125225</v>
      </c>
      <c r="AP9" s="4">
        <v>3.7590375484731875</v>
      </c>
      <c r="AQ9" s="4">
        <v>0</v>
      </c>
      <c r="AR9" s="4">
        <v>16.686391619198204</v>
      </c>
      <c r="AS9" s="4">
        <v>0</v>
      </c>
      <c r="AT9" s="4">
        <v>233.85814820444588</v>
      </c>
      <c r="AU9" s="4">
        <v>0</v>
      </c>
      <c r="AV9" s="4">
        <v>45.250795631052306</v>
      </c>
      <c r="AW9" s="4">
        <v>0</v>
      </c>
      <c r="AX9" s="4">
        <v>0</v>
      </c>
      <c r="AY9" s="4">
        <v>190.7300382421524</v>
      </c>
      <c r="AZ9" s="4">
        <v>0</v>
      </c>
      <c r="BA9" s="4">
        <v>3.7844193215086488</v>
      </c>
      <c r="BB9" s="4">
        <v>7.0515747876856754</v>
      </c>
      <c r="BC9" s="4">
        <v>0</v>
      </c>
      <c r="BD9" s="4">
        <v>10.003324807388735</v>
      </c>
      <c r="BE9" s="4">
        <v>0</v>
      </c>
      <c r="BF9" s="4">
        <v>0</v>
      </c>
      <c r="BG9" s="4">
        <v>0</v>
      </c>
      <c r="BH9" s="4">
        <v>35.006200484846417</v>
      </c>
      <c r="BI9" s="4">
        <v>0</v>
      </c>
      <c r="BJ9" s="4">
        <v>0</v>
      </c>
      <c r="BK9" s="4">
        <v>0</v>
      </c>
      <c r="BL9" s="4">
        <v>0</v>
      </c>
      <c r="BM9" s="4">
        <v>0</v>
      </c>
      <c r="BN9" s="4">
        <v>0</v>
      </c>
      <c r="BO9" s="4">
        <v>8.0800987245915188</v>
      </c>
      <c r="BP9" s="4">
        <v>0</v>
      </c>
      <c r="BQ9" s="4">
        <v>155.9798437984328</v>
      </c>
      <c r="BR9" s="4">
        <v>5.5609745273061311</v>
      </c>
      <c r="BS9" s="4">
        <v>50.060466837247162</v>
      </c>
      <c r="BT9" s="4">
        <v>285.94675506876814</v>
      </c>
      <c r="BU9" s="4">
        <v>0</v>
      </c>
      <c r="BV9" s="4">
        <v>0</v>
      </c>
      <c r="BW9" s="4">
        <v>0</v>
      </c>
      <c r="BX9" s="4">
        <v>0</v>
      </c>
      <c r="BY9" s="4">
        <v>0</v>
      </c>
      <c r="BZ9" s="4">
        <v>0</v>
      </c>
      <c r="CA9" s="4">
        <v>0</v>
      </c>
      <c r="CB9" s="4">
        <v>0</v>
      </c>
      <c r="CC9" s="4">
        <v>0</v>
      </c>
      <c r="CD9" s="4">
        <v>0</v>
      </c>
      <c r="CE9" s="4">
        <v>0</v>
      </c>
      <c r="CF9" s="4">
        <v>0</v>
      </c>
      <c r="CG9" s="4">
        <v>0</v>
      </c>
      <c r="CH9" s="4">
        <v>0</v>
      </c>
      <c r="CI9" s="4">
        <v>16.325298130510568</v>
      </c>
      <c r="CJ9" s="4">
        <v>14.257762481000812</v>
      </c>
      <c r="CK9" s="4">
        <v>55.535341703618698</v>
      </c>
      <c r="CL9" s="4">
        <v>14.050040483989074</v>
      </c>
      <c r="CM9" s="4">
        <v>5.1802704661369461</v>
      </c>
      <c r="CN9" s="4">
        <v>8.1063742989571494</v>
      </c>
      <c r="CO9" s="4">
        <v>-8.025559496095747</v>
      </c>
      <c r="CP9" s="4">
        <v>0</v>
      </c>
      <c r="CQ9" s="4">
        <v>0.39095193358435354</v>
      </c>
      <c r="CR9" s="4">
        <v>5.4759926547809377</v>
      </c>
      <c r="CS9" s="4">
        <v>2.200580473394794</v>
      </c>
      <c r="CT9" s="4">
        <v>74.012783637736391</v>
      </c>
      <c r="CU9" s="4">
        <v>0</v>
      </c>
      <c r="CV9" s="4">
        <v>10.639605201358453</v>
      </c>
      <c r="CW9" s="4">
        <v>6.9733618275214173</v>
      </c>
      <c r="CX9" s="4">
        <v>10.985274321901473</v>
      </c>
      <c r="CY9" s="4">
        <v>0</v>
      </c>
      <c r="CZ9" s="4">
        <v>0</v>
      </c>
      <c r="DA9" s="4">
        <v>60.059483467774498</v>
      </c>
      <c r="DB9" s="4">
        <v>1.54576270872064</v>
      </c>
      <c r="DC9" s="4">
        <v>0</v>
      </c>
      <c r="DD9" s="4">
        <v>0</v>
      </c>
      <c r="DE9" s="4">
        <v>0</v>
      </c>
      <c r="DF9" s="4">
        <v>0</v>
      </c>
      <c r="DG9" s="4">
        <v>0</v>
      </c>
      <c r="DH9" s="4">
        <v>115.36305601586794</v>
      </c>
      <c r="DI9" s="4">
        <v>31.414747499987765</v>
      </c>
      <c r="DJ9" s="4">
        <v>0</v>
      </c>
      <c r="DK9" s="4">
        <v>0</v>
      </c>
      <c r="DL9" s="4">
        <v>0</v>
      </c>
      <c r="DM9" s="4">
        <v>0</v>
      </c>
      <c r="DN9" s="4">
        <v>0</v>
      </c>
      <c r="DO9" s="4">
        <v>0</v>
      </c>
      <c r="DP9" s="4">
        <v>69.460859696192372</v>
      </c>
      <c r="DQ9" s="4">
        <v>0</v>
      </c>
      <c r="DR9" s="4">
        <v>0</v>
      </c>
      <c r="DS9" s="4">
        <v>98.758412421412658</v>
      </c>
      <c r="DT9" s="4">
        <v>11.735967323630549</v>
      </c>
      <c r="DU9" s="4">
        <v>98.411367747003439</v>
      </c>
      <c r="DV9" s="4">
        <v>0</v>
      </c>
      <c r="DW9" s="4">
        <v>0</v>
      </c>
      <c r="DX9" s="4">
        <v>0</v>
      </c>
      <c r="DY9" s="4">
        <v>0</v>
      </c>
      <c r="DZ9" s="4">
        <v>0</v>
      </c>
      <c r="EA9" s="4">
        <v>0</v>
      </c>
      <c r="EB9" s="4">
        <v>0</v>
      </c>
      <c r="EC9" s="4">
        <v>0</v>
      </c>
      <c r="ED9" s="4">
        <v>0</v>
      </c>
      <c r="EE9" s="4">
        <v>6.1147748129977879</v>
      </c>
      <c r="EF9" s="4">
        <v>13.825543345991646</v>
      </c>
      <c r="EG9" s="4">
        <v>0</v>
      </c>
      <c r="EH9" s="4">
        <v>518.70477410466265</v>
      </c>
      <c r="EI9" s="4">
        <v>0</v>
      </c>
      <c r="EJ9" s="4">
        <v>0</v>
      </c>
      <c r="EK9" s="4">
        <v>0</v>
      </c>
      <c r="EL9" s="4">
        <v>0</v>
      </c>
      <c r="EM9" s="4">
        <v>0</v>
      </c>
      <c r="EN9" s="4">
        <v>0</v>
      </c>
      <c r="EO9" s="4">
        <v>87.550868945577392</v>
      </c>
      <c r="EP9" s="4">
        <v>0</v>
      </c>
      <c r="EQ9" s="4">
        <v>0</v>
      </c>
      <c r="ER9" s="4">
        <v>151.34932095415476</v>
      </c>
      <c r="ES9" s="4">
        <v>0</v>
      </c>
      <c r="ET9" s="4">
        <v>0</v>
      </c>
      <c r="EU9" s="4">
        <v>96.502900505641961</v>
      </c>
      <c r="EV9" s="4">
        <v>0</v>
      </c>
      <c r="EW9" s="4">
        <v>0</v>
      </c>
      <c r="EX9" s="4">
        <v>19.162669818548416</v>
      </c>
      <c r="EY9" s="4">
        <v>0</v>
      </c>
      <c r="EZ9" s="4">
        <v>0.22077460090664597</v>
      </c>
      <c r="FA9" s="4">
        <v>0.19095680019396458</v>
      </c>
      <c r="FB9" s="4">
        <v>0</v>
      </c>
      <c r="FC9" s="4">
        <v>0</v>
      </c>
      <c r="FD9" s="4">
        <v>0</v>
      </c>
      <c r="FE9" s="4">
        <v>1.0837612211586256</v>
      </c>
      <c r="FF9" s="4">
        <v>0</v>
      </c>
      <c r="FG9" s="4">
        <v>1.3766412580826377</v>
      </c>
      <c r="FH9" s="4">
        <v>0</v>
      </c>
      <c r="FI9" s="4">
        <v>0</v>
      </c>
      <c r="FJ9" s="4">
        <v>-0.40065236624341105</v>
      </c>
      <c r="FK9" s="4">
        <v>0</v>
      </c>
      <c r="FL9" s="4">
        <v>0</v>
      </c>
      <c r="FM9" s="4">
        <v>0</v>
      </c>
      <c r="FN9" s="4">
        <v>0</v>
      </c>
      <c r="FO9" s="4">
        <v>0</v>
      </c>
      <c r="FP9" s="4">
        <v>0</v>
      </c>
      <c r="FQ9" s="4">
        <v>0</v>
      </c>
    </row>
    <row r="10" spans="2:173" ht="29" x14ac:dyDescent="0.35">
      <c r="B10" s="11">
        <v>3</v>
      </c>
      <c r="C10" s="11">
        <v>3</v>
      </c>
      <c r="D10" s="12" t="s">
        <v>172</v>
      </c>
      <c r="E10" s="3" t="s">
        <v>175</v>
      </c>
      <c r="F10" s="6">
        <f t="shared" si="0"/>
        <v>2160.837231429492</v>
      </c>
      <c r="G10" s="4">
        <v>0</v>
      </c>
      <c r="H10" s="4">
        <v>3.6151833167149183</v>
      </c>
      <c r="I10" s="4">
        <v>37.307362434987049</v>
      </c>
      <c r="J10" s="4">
        <v>13.011484008270479</v>
      </c>
      <c r="K10" s="4">
        <v>0.63468762146469015</v>
      </c>
      <c r="L10" s="4">
        <v>57.893027480646573</v>
      </c>
      <c r="M10" s="4">
        <v>1.2602413716220018</v>
      </c>
      <c r="N10" s="4">
        <v>9.5397256989002077</v>
      </c>
      <c r="O10" s="4">
        <v>0</v>
      </c>
      <c r="P10" s="4">
        <v>0</v>
      </c>
      <c r="Q10" s="4">
        <v>16.58813236467217</v>
      </c>
      <c r="R10" s="4">
        <v>3.6260216436183939</v>
      </c>
      <c r="S10" s="4">
        <v>6.1877729541743198</v>
      </c>
      <c r="T10" s="4">
        <v>3.6206977042488226</v>
      </c>
      <c r="U10" s="4">
        <v>4.4671327339490237</v>
      </c>
      <c r="V10" s="4">
        <v>0</v>
      </c>
      <c r="W10" s="4">
        <v>0</v>
      </c>
      <c r="X10" s="4">
        <v>0</v>
      </c>
      <c r="Y10" s="4">
        <v>26.266586160530316</v>
      </c>
      <c r="Z10" s="4">
        <v>1.1058217099102738</v>
      </c>
      <c r="AA10" s="4">
        <v>25.912059420261496</v>
      </c>
      <c r="AB10" s="4">
        <v>0</v>
      </c>
      <c r="AC10" s="4">
        <v>6.0062120780400425</v>
      </c>
      <c r="AD10" s="4">
        <v>11.398000341442698</v>
      </c>
      <c r="AE10" s="4">
        <v>0</v>
      </c>
      <c r="AF10" s="4">
        <v>25.565710825579977</v>
      </c>
      <c r="AG10" s="4">
        <v>9.2671091525510025</v>
      </c>
      <c r="AH10" s="4">
        <v>0</v>
      </c>
      <c r="AI10" s="4">
        <v>47.605295614625838</v>
      </c>
      <c r="AJ10" s="4">
        <v>72.240798576466887</v>
      </c>
      <c r="AK10" s="4">
        <v>3.5325563576622629</v>
      </c>
      <c r="AL10" s="4">
        <v>0</v>
      </c>
      <c r="AM10" s="4">
        <v>0</v>
      </c>
      <c r="AN10" s="4">
        <v>0</v>
      </c>
      <c r="AO10" s="4">
        <v>7.4946800468678063</v>
      </c>
      <c r="AP10" s="4">
        <v>0.94436736446520386</v>
      </c>
      <c r="AQ10" s="4">
        <v>0</v>
      </c>
      <c r="AR10" s="4">
        <v>3.5903293976356916</v>
      </c>
      <c r="AS10" s="4">
        <v>3.7721609784477504E-3</v>
      </c>
      <c r="AT10" s="4">
        <v>94.273442306254736</v>
      </c>
      <c r="AU10" s="4">
        <v>2.4326980712809623</v>
      </c>
      <c r="AV10" s="4">
        <v>5.9793796351913313</v>
      </c>
      <c r="AW10" s="4">
        <v>0.13278735212495338</v>
      </c>
      <c r="AX10" s="4">
        <v>4.3491891284915969</v>
      </c>
      <c r="AY10" s="4">
        <v>22.72418256785668</v>
      </c>
      <c r="AZ10" s="4">
        <v>0</v>
      </c>
      <c r="BA10" s="4">
        <v>0</v>
      </c>
      <c r="BB10" s="4">
        <v>5.3428408087781065</v>
      </c>
      <c r="BC10" s="4">
        <v>0</v>
      </c>
      <c r="BD10" s="4">
        <v>20.052984884499885</v>
      </c>
      <c r="BE10" s="4">
        <v>0</v>
      </c>
      <c r="BF10" s="4">
        <v>0</v>
      </c>
      <c r="BG10" s="4">
        <v>0</v>
      </c>
      <c r="BH10" s="4">
        <v>36.199663918105898</v>
      </c>
      <c r="BI10" s="4">
        <v>0</v>
      </c>
      <c r="BJ10" s="4">
        <v>0</v>
      </c>
      <c r="BK10" s="4">
        <v>0</v>
      </c>
      <c r="BL10" s="4">
        <v>0</v>
      </c>
      <c r="BM10" s="4">
        <v>0</v>
      </c>
      <c r="BN10" s="4">
        <v>0</v>
      </c>
      <c r="BO10" s="4">
        <v>16.195202721149453</v>
      </c>
      <c r="BP10" s="4">
        <v>6.6225581967121876</v>
      </c>
      <c r="BQ10" s="4">
        <v>32.117044566612741</v>
      </c>
      <c r="BR10" s="4">
        <v>19.146800413500518</v>
      </c>
      <c r="BS10" s="4">
        <v>17.837938175372159</v>
      </c>
      <c r="BT10" s="4">
        <v>3.5362077577991347</v>
      </c>
      <c r="BU10" s="4">
        <v>0</v>
      </c>
      <c r="BV10" s="4">
        <v>0</v>
      </c>
      <c r="BW10" s="4">
        <v>0</v>
      </c>
      <c r="BX10" s="4">
        <v>0</v>
      </c>
      <c r="BY10" s="4">
        <v>0</v>
      </c>
      <c r="BZ10" s="4">
        <v>0</v>
      </c>
      <c r="CA10" s="4">
        <v>0</v>
      </c>
      <c r="CB10" s="4">
        <v>0</v>
      </c>
      <c r="CC10" s="4">
        <v>0</v>
      </c>
      <c r="CD10" s="4">
        <v>0</v>
      </c>
      <c r="CE10" s="4">
        <v>9.7079226671156356</v>
      </c>
      <c r="CF10" s="4">
        <v>1.6585735247618394</v>
      </c>
      <c r="CG10" s="4">
        <v>0.15251250802407718</v>
      </c>
      <c r="CH10" s="4">
        <v>0.59507112505822968</v>
      </c>
      <c r="CI10" s="4">
        <v>23.252361662767438</v>
      </c>
      <c r="CJ10" s="4">
        <v>13.077672779820896</v>
      </c>
      <c r="CK10" s="4">
        <v>26.275550223607041</v>
      </c>
      <c r="CL10" s="4">
        <v>1.7574625653135389</v>
      </c>
      <c r="CM10" s="4">
        <v>7.7902609461687407</v>
      </c>
      <c r="CN10" s="4">
        <v>4.7254813074016067</v>
      </c>
      <c r="CO10" s="4">
        <v>0.30926183601657653</v>
      </c>
      <c r="CP10" s="4">
        <v>0</v>
      </c>
      <c r="CQ10" s="4">
        <v>3.5055957682956027</v>
      </c>
      <c r="CR10" s="4">
        <v>5.404876326378357</v>
      </c>
      <c r="CS10" s="4">
        <v>11.460397386653028</v>
      </c>
      <c r="CT10" s="4">
        <v>19.755177049771142</v>
      </c>
      <c r="CU10" s="4">
        <v>6.1761283665466138</v>
      </c>
      <c r="CV10" s="4">
        <v>3.6308758425925034</v>
      </c>
      <c r="CW10" s="4">
        <v>0.96144737194617991</v>
      </c>
      <c r="CX10" s="4">
        <v>1.794103227547307</v>
      </c>
      <c r="CY10" s="4">
        <v>4.9704306828134603</v>
      </c>
      <c r="CZ10" s="4">
        <v>1.9809221581409386</v>
      </c>
      <c r="DA10" s="4">
        <v>61.472662338005378</v>
      </c>
      <c r="DB10" s="4">
        <v>4.4220009274922703</v>
      </c>
      <c r="DC10" s="4">
        <v>2.0995557052203946</v>
      </c>
      <c r="DD10" s="4">
        <v>2.1055309747140298</v>
      </c>
      <c r="DE10" s="4">
        <v>4.2865813519662339</v>
      </c>
      <c r="DF10" s="4">
        <v>1.1041584791002648</v>
      </c>
      <c r="DG10" s="4">
        <v>1.3369418781960081</v>
      </c>
      <c r="DH10" s="4">
        <v>7.1333792871634918</v>
      </c>
      <c r="DI10" s="4">
        <v>3.1577213290349841</v>
      </c>
      <c r="DJ10" s="4">
        <v>0</v>
      </c>
      <c r="DK10" s="4">
        <v>0</v>
      </c>
      <c r="DL10" s="4">
        <v>0</v>
      </c>
      <c r="DM10" s="4">
        <v>12.292095249345474</v>
      </c>
      <c r="DN10" s="4">
        <v>1.929264461941758</v>
      </c>
      <c r="DO10" s="4">
        <v>4.9941009213506113</v>
      </c>
      <c r="DP10" s="4">
        <v>9.6038563237108914</v>
      </c>
      <c r="DQ10" s="4">
        <v>14.384737036411904</v>
      </c>
      <c r="DR10" s="4">
        <v>9.6039774845205415</v>
      </c>
      <c r="DS10" s="4">
        <v>38.703261139119434</v>
      </c>
      <c r="DT10" s="4">
        <v>11.472887267135002</v>
      </c>
      <c r="DU10" s="4">
        <v>3.1778756575289733</v>
      </c>
      <c r="DV10" s="4">
        <v>8.4563174831107908</v>
      </c>
      <c r="DW10" s="4">
        <v>0</v>
      </c>
      <c r="DX10" s="4">
        <v>0</v>
      </c>
      <c r="DY10" s="4">
        <v>0</v>
      </c>
      <c r="DZ10" s="4">
        <v>0</v>
      </c>
      <c r="EA10" s="4">
        <v>0</v>
      </c>
      <c r="EB10" s="4">
        <v>0</v>
      </c>
      <c r="EC10" s="4">
        <v>0</v>
      </c>
      <c r="ED10" s="4">
        <v>0</v>
      </c>
      <c r="EE10" s="4">
        <v>2.6013371890426664</v>
      </c>
      <c r="EF10" s="4">
        <v>14.219837007857198</v>
      </c>
      <c r="EG10" s="4">
        <v>118.50011632366611</v>
      </c>
      <c r="EH10" s="4">
        <v>686.19330612376461</v>
      </c>
      <c r="EI10" s="4">
        <v>0</v>
      </c>
      <c r="EJ10" s="4">
        <v>0</v>
      </c>
      <c r="EK10" s="4">
        <v>0</v>
      </c>
      <c r="EL10" s="4">
        <v>0</v>
      </c>
      <c r="EM10" s="4">
        <v>0</v>
      </c>
      <c r="EN10" s="4">
        <v>0</v>
      </c>
      <c r="EO10" s="4">
        <v>58.636322034560528</v>
      </c>
      <c r="EP10" s="4">
        <v>0</v>
      </c>
      <c r="EQ10" s="4">
        <v>0</v>
      </c>
      <c r="ER10" s="4">
        <v>81.347842679300953</v>
      </c>
      <c r="ES10" s="4">
        <v>0</v>
      </c>
      <c r="ET10" s="4">
        <v>24.06362109787727</v>
      </c>
      <c r="EU10" s="4">
        <v>110.73157740422313</v>
      </c>
      <c r="EV10" s="4">
        <v>12.558291756225852</v>
      </c>
      <c r="EW10" s="4">
        <v>29.423963222021207</v>
      </c>
      <c r="EX10" s="4">
        <v>26.560041684226626</v>
      </c>
      <c r="EY10" s="4">
        <v>8.1907426196516209</v>
      </c>
      <c r="EZ10" s="4">
        <v>0.68179323078474885</v>
      </c>
      <c r="FA10" s="4">
        <v>3.1771698787547811</v>
      </c>
      <c r="FB10" s="4">
        <v>0.24579453874380372</v>
      </c>
      <c r="FC10" s="4">
        <v>8.8671390769052186E-2</v>
      </c>
      <c r="FD10" s="4">
        <v>0.46695512547159634</v>
      </c>
      <c r="FE10" s="4">
        <v>0.1167003726959059</v>
      </c>
      <c r="FF10" s="4">
        <v>8.6005369142329674E-2</v>
      </c>
      <c r="FG10" s="4">
        <v>0.21169435602592943</v>
      </c>
      <c r="FH10" s="4">
        <v>0.48802496594158296</v>
      </c>
      <c r="FI10" s="4">
        <v>0</v>
      </c>
      <c r="FJ10" s="4">
        <v>0</v>
      </c>
      <c r="FK10" s="4">
        <v>0</v>
      </c>
      <c r="FL10" s="4">
        <v>0</v>
      </c>
      <c r="FM10" s="4">
        <v>0</v>
      </c>
      <c r="FN10" s="4">
        <v>0</v>
      </c>
      <c r="FO10" s="4">
        <v>0</v>
      </c>
      <c r="FP10" s="4">
        <v>0</v>
      </c>
      <c r="FQ10" s="4">
        <v>0</v>
      </c>
    </row>
    <row r="11" spans="2:173" ht="29" x14ac:dyDescent="0.35">
      <c r="B11" s="11">
        <v>3</v>
      </c>
      <c r="C11" s="11">
        <v>4</v>
      </c>
      <c r="D11" s="12" t="s">
        <v>172</v>
      </c>
      <c r="E11" s="3" t="s">
        <v>176</v>
      </c>
      <c r="F11" s="6">
        <f t="shared" si="0"/>
        <v>42362.159620086415</v>
      </c>
      <c r="G11" s="4">
        <v>0</v>
      </c>
      <c r="H11" s="4">
        <v>310.16220733024352</v>
      </c>
      <c r="I11" s="4">
        <v>655.68649072087965</v>
      </c>
      <c r="J11" s="4">
        <v>25.727806052674051</v>
      </c>
      <c r="K11" s="4">
        <v>4.3131602705569607</v>
      </c>
      <c r="L11" s="4">
        <v>-4.4924550441719449</v>
      </c>
      <c r="M11" s="4">
        <v>2.313559263283163</v>
      </c>
      <c r="N11" s="4">
        <v>-34.680132482869929</v>
      </c>
      <c r="O11" s="4">
        <v>0</v>
      </c>
      <c r="P11" s="4">
        <v>0</v>
      </c>
      <c r="Q11" s="4">
        <v>698.99928662274237</v>
      </c>
      <c r="R11" s="4">
        <v>1024.0096432258542</v>
      </c>
      <c r="S11" s="4">
        <v>919.13441780233097</v>
      </c>
      <c r="T11" s="4">
        <v>495.11584615413193</v>
      </c>
      <c r="U11" s="4">
        <v>356.74271142089356</v>
      </c>
      <c r="V11" s="4">
        <v>0</v>
      </c>
      <c r="W11" s="4">
        <v>6.3813979769413081</v>
      </c>
      <c r="X11" s="4">
        <v>0</v>
      </c>
      <c r="Y11" s="4">
        <v>312.24094259119545</v>
      </c>
      <c r="Z11" s="4">
        <v>128.10129897566929</v>
      </c>
      <c r="AA11" s="4">
        <v>595.95237092227535</v>
      </c>
      <c r="AB11" s="4">
        <v>0</v>
      </c>
      <c r="AC11" s="4">
        <v>210.58228202985816</v>
      </c>
      <c r="AD11" s="4">
        <v>117.93327878169562</v>
      </c>
      <c r="AE11" s="4">
        <v>0</v>
      </c>
      <c r="AF11" s="4">
        <v>29.197500796923499</v>
      </c>
      <c r="AG11" s="4">
        <v>52.283798228764823</v>
      </c>
      <c r="AH11" s="4">
        <v>0</v>
      </c>
      <c r="AI11" s="4">
        <v>781.97736079710353</v>
      </c>
      <c r="AJ11" s="4">
        <v>325.65943551107301</v>
      </c>
      <c r="AK11" s="4">
        <v>24.299282761603717</v>
      </c>
      <c r="AL11" s="4">
        <v>0</v>
      </c>
      <c r="AM11" s="4">
        <v>0</v>
      </c>
      <c r="AN11" s="4">
        <v>0</v>
      </c>
      <c r="AO11" s="4">
        <v>26.494154138887581</v>
      </c>
      <c r="AP11" s="4">
        <v>4.2756447430282423</v>
      </c>
      <c r="AQ11" s="4">
        <v>57.37528275340442</v>
      </c>
      <c r="AR11" s="4">
        <v>29.754200359251914</v>
      </c>
      <c r="AS11" s="4">
        <v>0.84610063863012985</v>
      </c>
      <c r="AT11" s="4">
        <v>7505.0301982276351</v>
      </c>
      <c r="AU11" s="4">
        <v>5.3744630066802461</v>
      </c>
      <c r="AV11" s="4">
        <v>163.10903369861802</v>
      </c>
      <c r="AW11" s="4">
        <v>1.7952758383347236</v>
      </c>
      <c r="AX11" s="4">
        <v>70.966264375915799</v>
      </c>
      <c r="AY11" s="4">
        <v>67.060232846318343</v>
      </c>
      <c r="AZ11" s="4">
        <v>0</v>
      </c>
      <c r="BA11" s="4">
        <v>0</v>
      </c>
      <c r="BB11" s="4">
        <v>599.92685758872824</v>
      </c>
      <c r="BC11" s="4">
        <v>0</v>
      </c>
      <c r="BD11" s="4">
        <v>314.19220340589305</v>
      </c>
      <c r="BE11" s="4">
        <v>13.217871973906936</v>
      </c>
      <c r="BF11" s="4">
        <v>0</v>
      </c>
      <c r="BG11" s="4">
        <v>0</v>
      </c>
      <c r="BH11" s="4">
        <v>488.38278124495889</v>
      </c>
      <c r="BI11" s="4">
        <v>0</v>
      </c>
      <c r="BJ11" s="4">
        <v>0</v>
      </c>
      <c r="BK11" s="4">
        <v>0</v>
      </c>
      <c r="BL11" s="4">
        <v>0</v>
      </c>
      <c r="BM11" s="4">
        <v>0</v>
      </c>
      <c r="BN11" s="4">
        <v>92.857381755322322</v>
      </c>
      <c r="BO11" s="4">
        <v>862.01048853242287</v>
      </c>
      <c r="BP11" s="4">
        <v>240.30315296464519</v>
      </c>
      <c r="BQ11" s="4">
        <v>410.17295242659037</v>
      </c>
      <c r="BR11" s="4">
        <v>1442.4817675400254</v>
      </c>
      <c r="BS11" s="4">
        <v>1081.6584978912015</v>
      </c>
      <c r="BT11" s="4">
        <v>0</v>
      </c>
      <c r="BU11" s="4">
        <v>0</v>
      </c>
      <c r="BV11" s="4">
        <v>0</v>
      </c>
      <c r="BW11" s="4">
        <v>0</v>
      </c>
      <c r="BX11" s="4">
        <v>0</v>
      </c>
      <c r="BY11" s="4">
        <v>0</v>
      </c>
      <c r="BZ11" s="4">
        <v>0</v>
      </c>
      <c r="CA11" s="4">
        <v>0</v>
      </c>
      <c r="CB11" s="4">
        <v>0</v>
      </c>
      <c r="CC11" s="4">
        <v>0</v>
      </c>
      <c r="CD11" s="4">
        <v>0</v>
      </c>
      <c r="CE11" s="4">
        <v>2.6609819991885115</v>
      </c>
      <c r="CF11" s="4">
        <v>0</v>
      </c>
      <c r="CG11" s="4">
        <v>0</v>
      </c>
      <c r="CH11" s="4">
        <v>0</v>
      </c>
      <c r="CI11" s="4">
        <v>27.843504093111552</v>
      </c>
      <c r="CJ11" s="4">
        <v>120.17037445715715</v>
      </c>
      <c r="CK11" s="4">
        <v>131.94164266300228</v>
      </c>
      <c r="CL11" s="4">
        <v>132.30013970461687</v>
      </c>
      <c r="CM11" s="4">
        <v>21.513711951493313</v>
      </c>
      <c r="CN11" s="4">
        <v>11.933562628080301</v>
      </c>
      <c r="CO11" s="4">
        <v>0.59475563345792193</v>
      </c>
      <c r="CP11" s="4">
        <v>0</v>
      </c>
      <c r="CQ11" s="4">
        <v>454.8846465357866</v>
      </c>
      <c r="CR11" s="4">
        <v>46.687421627424634</v>
      </c>
      <c r="CS11" s="4">
        <v>39.524633906112847</v>
      </c>
      <c r="CT11" s="4">
        <v>368.56566011087597</v>
      </c>
      <c r="CU11" s="4">
        <v>42.052086442265711</v>
      </c>
      <c r="CV11" s="4">
        <v>123.85524655641451</v>
      </c>
      <c r="CW11" s="4">
        <v>0</v>
      </c>
      <c r="CX11" s="4">
        <v>17.855849811420928</v>
      </c>
      <c r="CY11" s="4">
        <v>6.1811630837768314</v>
      </c>
      <c r="CZ11" s="4">
        <v>0</v>
      </c>
      <c r="DA11" s="4">
        <v>189.44827738943161</v>
      </c>
      <c r="DB11" s="4">
        <v>38.777782158848566</v>
      </c>
      <c r="DC11" s="4">
        <v>37.092905348725218</v>
      </c>
      <c r="DD11" s="4">
        <v>11.610065522861872</v>
      </c>
      <c r="DE11" s="4">
        <v>15.790240152933585</v>
      </c>
      <c r="DF11" s="4">
        <v>46.061833614973139</v>
      </c>
      <c r="DG11" s="4">
        <v>11.294988957610073</v>
      </c>
      <c r="DH11" s="4">
        <v>180.27343794900509</v>
      </c>
      <c r="DI11" s="4">
        <v>4.8861021257643874E-3</v>
      </c>
      <c r="DJ11" s="4">
        <v>0</v>
      </c>
      <c r="DK11" s="4">
        <v>0</v>
      </c>
      <c r="DL11" s="4">
        <v>0</v>
      </c>
      <c r="DM11" s="4">
        <v>384.82485301945405</v>
      </c>
      <c r="DN11" s="4">
        <v>46.670903796991439</v>
      </c>
      <c r="DO11" s="4">
        <v>10.047165337389584</v>
      </c>
      <c r="DP11" s="4">
        <v>101.88798492291343</v>
      </c>
      <c r="DQ11" s="4">
        <v>61.555114580379758</v>
      </c>
      <c r="DR11" s="4">
        <v>56.475583732594309</v>
      </c>
      <c r="DS11" s="4">
        <v>307.28678066646785</v>
      </c>
      <c r="DT11" s="4">
        <v>89.45157817567862</v>
      </c>
      <c r="DU11" s="4">
        <v>25.733218302374198</v>
      </c>
      <c r="DV11" s="4">
        <v>127.51084773855095</v>
      </c>
      <c r="DW11" s="4">
        <v>0</v>
      </c>
      <c r="DX11" s="4">
        <v>0</v>
      </c>
      <c r="DY11" s="4">
        <v>0</v>
      </c>
      <c r="DZ11" s="4">
        <v>0</v>
      </c>
      <c r="EA11" s="4">
        <v>0</v>
      </c>
      <c r="EB11" s="4">
        <v>0</v>
      </c>
      <c r="EC11" s="4">
        <v>0</v>
      </c>
      <c r="ED11" s="4">
        <v>0</v>
      </c>
      <c r="EE11" s="4">
        <v>242.75551602871172</v>
      </c>
      <c r="EF11" s="4">
        <v>163.20459001143439</v>
      </c>
      <c r="EG11" s="4">
        <v>1460.2510198805978</v>
      </c>
      <c r="EH11" s="4">
        <v>526.45588422959258</v>
      </c>
      <c r="EI11" s="4">
        <v>0</v>
      </c>
      <c r="EJ11" s="4">
        <v>0</v>
      </c>
      <c r="EK11" s="4">
        <v>0</v>
      </c>
      <c r="EL11" s="4">
        <v>0</v>
      </c>
      <c r="EM11" s="4">
        <v>0</v>
      </c>
      <c r="EN11" s="4">
        <v>0</v>
      </c>
      <c r="EO11" s="4">
        <v>7772.6152156184598</v>
      </c>
      <c r="EP11" s="4">
        <v>128.73682414017503</v>
      </c>
      <c r="EQ11" s="4">
        <v>0</v>
      </c>
      <c r="ER11" s="4">
        <v>7365.6500158141416</v>
      </c>
      <c r="ES11" s="4">
        <v>0</v>
      </c>
      <c r="ET11" s="4">
        <v>495.3589555045416</v>
      </c>
      <c r="EU11" s="4">
        <v>1063.2759906178719</v>
      </c>
      <c r="EV11" s="4">
        <v>30.868861035132895</v>
      </c>
      <c r="EW11" s="4">
        <v>409.14101372763901</v>
      </c>
      <c r="EX11" s="4">
        <v>103.87532368261644</v>
      </c>
      <c r="EY11" s="4">
        <v>0</v>
      </c>
      <c r="EZ11" s="4">
        <v>22.705301728290785</v>
      </c>
      <c r="FA11" s="4">
        <v>31.523830694868742</v>
      </c>
      <c r="FB11" s="4">
        <v>6.0802843197363616</v>
      </c>
      <c r="FC11" s="4">
        <v>1.1777618047520932</v>
      </c>
      <c r="FD11" s="4">
        <v>0.76183012349636936</v>
      </c>
      <c r="FE11" s="4">
        <v>0</v>
      </c>
      <c r="FF11" s="4">
        <v>0</v>
      </c>
      <c r="FG11" s="4">
        <v>3.1541226310669641E-2</v>
      </c>
      <c r="FH11" s="4">
        <v>2.980361342763898</v>
      </c>
      <c r="FI11" s="4">
        <v>0</v>
      </c>
      <c r="FJ11" s="4">
        <v>0</v>
      </c>
      <c r="FK11" s="4">
        <v>7.5878291835399889E-2</v>
      </c>
      <c r="FL11" s="4">
        <v>0</v>
      </c>
      <c r="FM11" s="4">
        <v>0</v>
      </c>
      <c r="FN11" s="4">
        <v>0</v>
      </c>
      <c r="FO11" s="4">
        <v>0</v>
      </c>
      <c r="FP11" s="4">
        <v>0</v>
      </c>
      <c r="FQ11" s="4">
        <v>0</v>
      </c>
    </row>
    <row r="12" spans="2:173" ht="29" x14ac:dyDescent="0.35">
      <c r="B12" s="11">
        <v>3</v>
      </c>
      <c r="C12" s="11">
        <v>5</v>
      </c>
      <c r="D12" s="12" t="s">
        <v>172</v>
      </c>
      <c r="E12" s="3" t="s">
        <v>177</v>
      </c>
      <c r="F12" s="6">
        <f t="shared" si="0"/>
        <v>464.98530402198452</v>
      </c>
      <c r="G12" s="4">
        <v>0</v>
      </c>
      <c r="H12" s="4">
        <v>0</v>
      </c>
      <c r="I12" s="4">
        <v>3.450870352284277</v>
      </c>
      <c r="J12" s="4">
        <v>4.4824954822685124</v>
      </c>
      <c r="K12" s="4">
        <v>0</v>
      </c>
      <c r="L12" s="4">
        <v>15.467046101452425</v>
      </c>
      <c r="M12" s="4">
        <v>0</v>
      </c>
      <c r="N12" s="4">
        <v>0</v>
      </c>
      <c r="O12" s="4">
        <v>0</v>
      </c>
      <c r="P12" s="4">
        <v>0</v>
      </c>
      <c r="Q12" s="4">
        <v>7.8447228503620732</v>
      </c>
      <c r="R12" s="4">
        <v>0</v>
      </c>
      <c r="S12" s="4">
        <v>5.0385755503271739</v>
      </c>
      <c r="T12" s="4">
        <v>2.8593702209914813</v>
      </c>
      <c r="U12" s="4">
        <v>2.7303975955739408</v>
      </c>
      <c r="V12" s="4">
        <v>0</v>
      </c>
      <c r="W12" s="4">
        <v>0</v>
      </c>
      <c r="X12" s="4">
        <v>0</v>
      </c>
      <c r="Y12" s="4">
        <v>0.11320951914255775</v>
      </c>
      <c r="Z12" s="4">
        <v>0</v>
      </c>
      <c r="AA12" s="4">
        <v>12.416313887679996</v>
      </c>
      <c r="AB12" s="4">
        <v>0</v>
      </c>
      <c r="AC12" s="4">
        <v>0.26459843904928709</v>
      </c>
      <c r="AD12" s="4">
        <v>0.24604522077077023</v>
      </c>
      <c r="AE12" s="4">
        <v>0</v>
      </c>
      <c r="AF12" s="4">
        <v>0.12152926632167811</v>
      </c>
      <c r="AG12" s="4">
        <v>4.9330449112669927E-2</v>
      </c>
      <c r="AH12" s="4">
        <v>0</v>
      </c>
      <c r="AI12" s="4">
        <v>0.32238446363741646</v>
      </c>
      <c r="AJ12" s="4">
        <v>0.22164720847774375</v>
      </c>
      <c r="AK12" s="4">
        <v>0.13897443472549467</v>
      </c>
      <c r="AL12" s="4">
        <v>0</v>
      </c>
      <c r="AM12" s="4">
        <v>0</v>
      </c>
      <c r="AN12" s="4">
        <v>0</v>
      </c>
      <c r="AO12" s="4">
        <v>1.7822452466070404E-2</v>
      </c>
      <c r="AP12" s="4">
        <v>0</v>
      </c>
      <c r="AQ12" s="4">
        <v>0</v>
      </c>
      <c r="AR12" s="4">
        <v>1.521414469884504</v>
      </c>
      <c r="AS12" s="4">
        <v>0</v>
      </c>
      <c r="AT12" s="4">
        <v>10.10719259287694</v>
      </c>
      <c r="AU12" s="4">
        <v>1.0477071433351302E-3</v>
      </c>
      <c r="AV12" s="4">
        <v>2.630697390810572E-2</v>
      </c>
      <c r="AW12" s="4">
        <v>0</v>
      </c>
      <c r="AX12" s="4">
        <v>0.32486937695176354</v>
      </c>
      <c r="AY12" s="4">
        <v>0.32643220972684767</v>
      </c>
      <c r="AZ12" s="4">
        <v>0</v>
      </c>
      <c r="BA12" s="4">
        <v>0</v>
      </c>
      <c r="BB12" s="4">
        <v>0.10644228345765222</v>
      </c>
      <c r="BC12" s="4">
        <v>0</v>
      </c>
      <c r="BD12" s="4">
        <v>1.3128688372070239</v>
      </c>
      <c r="BE12" s="4">
        <v>0</v>
      </c>
      <c r="BF12" s="4">
        <v>0</v>
      </c>
      <c r="BG12" s="4">
        <v>0</v>
      </c>
      <c r="BH12" s="4">
        <v>0.39750961479174235</v>
      </c>
      <c r="BI12" s="4">
        <v>0</v>
      </c>
      <c r="BJ12" s="4">
        <v>0</v>
      </c>
      <c r="BK12" s="4">
        <v>0</v>
      </c>
      <c r="BL12" s="4">
        <v>0</v>
      </c>
      <c r="BM12" s="4">
        <v>0</v>
      </c>
      <c r="BN12" s="4">
        <v>0</v>
      </c>
      <c r="BO12" s="4">
        <v>0</v>
      </c>
      <c r="BP12" s="4">
        <v>0</v>
      </c>
      <c r="BQ12" s="4">
        <v>10.822146040771958</v>
      </c>
      <c r="BR12" s="4">
        <v>1.0674300001534698</v>
      </c>
      <c r="BS12" s="4">
        <v>1.7754919197570742</v>
      </c>
      <c r="BT12" s="4">
        <v>0.31936625003703262</v>
      </c>
      <c r="BU12" s="4">
        <v>0</v>
      </c>
      <c r="BV12" s="4">
        <v>0</v>
      </c>
      <c r="BW12" s="4">
        <v>0</v>
      </c>
      <c r="BX12" s="4">
        <v>0</v>
      </c>
      <c r="BY12" s="4">
        <v>0</v>
      </c>
      <c r="BZ12" s="4">
        <v>0</v>
      </c>
      <c r="CA12" s="4">
        <v>0</v>
      </c>
      <c r="CB12" s="4">
        <v>0</v>
      </c>
      <c r="CC12" s="4">
        <v>0</v>
      </c>
      <c r="CD12" s="4">
        <v>0</v>
      </c>
      <c r="CE12" s="4">
        <v>1.9334959099730127E-3</v>
      </c>
      <c r="CF12" s="4">
        <v>0</v>
      </c>
      <c r="CG12" s="4">
        <v>0</v>
      </c>
      <c r="CH12" s="4">
        <v>0</v>
      </c>
      <c r="CI12" s="4">
        <v>5.7152424668931341E-2</v>
      </c>
      <c r="CJ12" s="4">
        <v>5.6613855574205112E-2</v>
      </c>
      <c r="CK12" s="4">
        <v>0.16991300130056999</v>
      </c>
      <c r="CL12" s="4">
        <v>3.3929043375868786E-2</v>
      </c>
      <c r="CM12" s="4">
        <v>4.1825707361289606E-2</v>
      </c>
      <c r="CN12" s="4">
        <v>1.3310643025553128E-2</v>
      </c>
      <c r="CO12" s="4">
        <v>0</v>
      </c>
      <c r="CP12" s="4">
        <v>0</v>
      </c>
      <c r="CQ12" s="4">
        <v>8.3288127779183245</v>
      </c>
      <c r="CR12" s="4">
        <v>3.1300502211464112</v>
      </c>
      <c r="CS12" s="4">
        <v>1.9294479505555816E-2</v>
      </c>
      <c r="CT12" s="4">
        <v>25.913288342767078</v>
      </c>
      <c r="CU12" s="4">
        <v>0</v>
      </c>
      <c r="CV12" s="4">
        <v>2.5076413678503826</v>
      </c>
      <c r="CW12" s="4">
        <v>6.5888732276571133E-2</v>
      </c>
      <c r="CX12" s="4">
        <v>0.91374508675295651</v>
      </c>
      <c r="CY12" s="4">
        <v>2.6630810661500217E-2</v>
      </c>
      <c r="CZ12" s="4">
        <v>2.5846935226077658E-2</v>
      </c>
      <c r="DA12" s="4">
        <v>12.223938728060526</v>
      </c>
      <c r="DB12" s="4">
        <v>4.9777918297278852E-2</v>
      </c>
      <c r="DC12" s="4">
        <v>0.96112233962781835</v>
      </c>
      <c r="DD12" s="4">
        <v>0.49198865090156024</v>
      </c>
      <c r="DE12" s="4">
        <v>0.67220203233876796</v>
      </c>
      <c r="DF12" s="4">
        <v>0.2421882664230833</v>
      </c>
      <c r="DG12" s="4">
        <v>0.17723569629369193</v>
      </c>
      <c r="DH12" s="4">
        <v>0.17987226728985389</v>
      </c>
      <c r="DI12" s="4">
        <v>0</v>
      </c>
      <c r="DJ12" s="4">
        <v>0</v>
      </c>
      <c r="DK12" s="4">
        <v>0</v>
      </c>
      <c r="DL12" s="4">
        <v>0</v>
      </c>
      <c r="DM12" s="4">
        <v>0.12679232791011819</v>
      </c>
      <c r="DN12" s="4">
        <v>0.19166223151853726</v>
      </c>
      <c r="DO12" s="4">
        <v>6.4579191823092658E-2</v>
      </c>
      <c r="DP12" s="4">
        <v>0.23243021464443173</v>
      </c>
      <c r="DQ12" s="4">
        <v>6.6077222397110376</v>
      </c>
      <c r="DR12" s="4">
        <v>12.331192101244566</v>
      </c>
      <c r="DS12" s="4">
        <v>26.353074714571967</v>
      </c>
      <c r="DT12" s="4">
        <v>36.985994191554276</v>
      </c>
      <c r="DU12" s="4">
        <v>4.2042252008065955</v>
      </c>
      <c r="DV12" s="4">
        <v>4.0175386304728109</v>
      </c>
      <c r="DW12" s="4">
        <v>0</v>
      </c>
      <c r="DX12" s="4">
        <v>0</v>
      </c>
      <c r="DY12" s="4">
        <v>0</v>
      </c>
      <c r="DZ12" s="4">
        <v>0</v>
      </c>
      <c r="EA12" s="4">
        <v>0</v>
      </c>
      <c r="EB12" s="4">
        <v>0</v>
      </c>
      <c r="EC12" s="4">
        <v>0</v>
      </c>
      <c r="ED12" s="4">
        <v>0</v>
      </c>
      <c r="EE12" s="4">
        <v>7.1923190467877873E-2</v>
      </c>
      <c r="EF12" s="4">
        <v>4.677311844141939</v>
      </c>
      <c r="EG12" s="4">
        <v>0</v>
      </c>
      <c r="EH12" s="4">
        <v>166.85894323401908</v>
      </c>
      <c r="EI12" s="4">
        <v>0</v>
      </c>
      <c r="EJ12" s="4">
        <v>0</v>
      </c>
      <c r="EK12" s="4">
        <v>0</v>
      </c>
      <c r="EL12" s="4">
        <v>0</v>
      </c>
      <c r="EM12" s="4">
        <v>0</v>
      </c>
      <c r="EN12" s="4">
        <v>0</v>
      </c>
      <c r="EO12" s="4">
        <v>8.7039736950530049</v>
      </c>
      <c r="EP12" s="4">
        <v>0</v>
      </c>
      <c r="EQ12" s="4">
        <v>0</v>
      </c>
      <c r="ER12" s="4">
        <v>2.9749279066072822</v>
      </c>
      <c r="ES12" s="4">
        <v>0</v>
      </c>
      <c r="ET12" s="4">
        <v>3.0125398026757937</v>
      </c>
      <c r="EU12" s="4">
        <v>32.215255240404332</v>
      </c>
      <c r="EV12" s="4">
        <v>7.908466730313056</v>
      </c>
      <c r="EW12" s="4">
        <v>7.2486967381799428</v>
      </c>
      <c r="EX12" s="4">
        <v>0</v>
      </c>
      <c r="EY12" s="4">
        <v>0</v>
      </c>
      <c r="EZ12" s="4">
        <v>0</v>
      </c>
      <c r="FA12" s="4">
        <v>0</v>
      </c>
      <c r="FB12" s="4">
        <v>0</v>
      </c>
      <c r="FC12" s="4">
        <v>0</v>
      </c>
      <c r="FD12" s="4">
        <v>0</v>
      </c>
      <c r="FE12" s="4">
        <v>0</v>
      </c>
      <c r="FF12" s="4">
        <v>0</v>
      </c>
      <c r="FG12" s="4">
        <v>0</v>
      </c>
      <c r="FH12" s="4">
        <v>0</v>
      </c>
      <c r="FI12" s="4">
        <v>0</v>
      </c>
      <c r="FJ12" s="4">
        <v>0</v>
      </c>
      <c r="FK12" s="4">
        <v>0</v>
      </c>
      <c r="FL12" s="4">
        <v>0</v>
      </c>
      <c r="FM12" s="4">
        <v>0</v>
      </c>
      <c r="FN12" s="4">
        <v>0</v>
      </c>
      <c r="FO12" s="4">
        <v>0</v>
      </c>
      <c r="FP12" s="4">
        <v>0</v>
      </c>
      <c r="FQ12" s="4">
        <v>0</v>
      </c>
    </row>
    <row r="13" spans="2:173" x14ac:dyDescent="0.35">
      <c r="B13" s="11">
        <v>3</v>
      </c>
      <c r="C13" s="11">
        <v>6</v>
      </c>
      <c r="D13" s="12" t="s">
        <v>172</v>
      </c>
      <c r="E13" s="3" t="s">
        <v>178</v>
      </c>
      <c r="F13" s="6">
        <f t="shared" si="0"/>
        <v>5708.7732981265162</v>
      </c>
      <c r="G13" s="4">
        <v>0</v>
      </c>
      <c r="H13" s="4">
        <v>61.458320097533772</v>
      </c>
      <c r="I13" s="4">
        <v>284.31562253055279</v>
      </c>
      <c r="J13" s="4">
        <v>22.765523152835211</v>
      </c>
      <c r="K13" s="4">
        <v>5.6470045627496495</v>
      </c>
      <c r="L13" s="4">
        <v>176.59874899591179</v>
      </c>
      <c r="M13" s="4">
        <v>22.975051143860448</v>
      </c>
      <c r="N13" s="4">
        <v>20.515630389826008</v>
      </c>
      <c r="O13" s="4">
        <v>0</v>
      </c>
      <c r="P13" s="4">
        <v>218.51751407814328</v>
      </c>
      <c r="Q13" s="4">
        <v>318.48095576540032</v>
      </c>
      <c r="R13" s="4">
        <v>143.19895093697411</v>
      </c>
      <c r="S13" s="4">
        <v>102.29782545979292</v>
      </c>
      <c r="T13" s="4">
        <v>28.373419960716721</v>
      </c>
      <c r="U13" s="4">
        <v>12.91287702432234</v>
      </c>
      <c r="V13" s="4">
        <v>0.24367590103156911</v>
      </c>
      <c r="W13" s="4">
        <v>2.5065199007644781</v>
      </c>
      <c r="X13" s="4">
        <v>0</v>
      </c>
      <c r="Y13" s="4">
        <v>146.0828821422426</v>
      </c>
      <c r="Z13" s="4">
        <v>33.705644554867533</v>
      </c>
      <c r="AA13" s="4">
        <v>50.55772561914339</v>
      </c>
      <c r="AB13" s="4">
        <v>0</v>
      </c>
      <c r="AC13" s="4">
        <v>25.806020444412141</v>
      </c>
      <c r="AD13" s="4">
        <v>29.048480984714921</v>
      </c>
      <c r="AE13" s="4">
        <v>0</v>
      </c>
      <c r="AF13" s="4">
        <v>37.874121289860099</v>
      </c>
      <c r="AG13" s="4">
        <v>12.490936340266606</v>
      </c>
      <c r="AH13" s="4">
        <v>0</v>
      </c>
      <c r="AI13" s="4">
        <v>88.229436276812777</v>
      </c>
      <c r="AJ13" s="4">
        <v>88.356367531693991</v>
      </c>
      <c r="AK13" s="4">
        <v>2.7844859507774462</v>
      </c>
      <c r="AL13" s="4">
        <v>0</v>
      </c>
      <c r="AM13" s="4">
        <v>0</v>
      </c>
      <c r="AN13" s="4">
        <v>5.1519346549541494</v>
      </c>
      <c r="AO13" s="4">
        <v>8.2275581920044143</v>
      </c>
      <c r="AP13" s="4">
        <v>5.7938670369413474</v>
      </c>
      <c r="AQ13" s="4">
        <v>8.8193238278018722</v>
      </c>
      <c r="AR13" s="4">
        <v>52.647972959648769</v>
      </c>
      <c r="AS13" s="4">
        <v>0.12164883794066395</v>
      </c>
      <c r="AT13" s="4">
        <v>73.137592180752478</v>
      </c>
      <c r="AU13" s="4">
        <v>5.5873941897001522</v>
      </c>
      <c r="AV13" s="4">
        <v>58.863122382386642</v>
      </c>
      <c r="AW13" s="4">
        <v>2.9722391765769238</v>
      </c>
      <c r="AX13" s="4">
        <v>9.9065897261444853</v>
      </c>
      <c r="AY13" s="4">
        <v>93.123765337428537</v>
      </c>
      <c r="AZ13" s="4">
        <v>0</v>
      </c>
      <c r="BA13" s="4">
        <v>4.5151619085106693</v>
      </c>
      <c r="BB13" s="4">
        <v>19.823157654334604</v>
      </c>
      <c r="BC13" s="4">
        <v>0</v>
      </c>
      <c r="BD13" s="4">
        <v>113.44074860901762</v>
      </c>
      <c r="BE13" s="4">
        <v>6.8663495147329847</v>
      </c>
      <c r="BF13" s="4">
        <v>43.373071462378469</v>
      </c>
      <c r="BG13" s="4">
        <v>50.201584322290024</v>
      </c>
      <c r="BH13" s="4">
        <v>54.208777612389561</v>
      </c>
      <c r="BI13" s="4">
        <v>0</v>
      </c>
      <c r="BJ13" s="4">
        <v>0</v>
      </c>
      <c r="BK13" s="4">
        <v>0</v>
      </c>
      <c r="BL13" s="4">
        <v>0</v>
      </c>
      <c r="BM13" s="4">
        <v>0</v>
      </c>
      <c r="BN13" s="4">
        <v>12.406525094740706</v>
      </c>
      <c r="BO13" s="4">
        <v>53.817994776202923</v>
      </c>
      <c r="BP13" s="4">
        <v>6.4146965490244678</v>
      </c>
      <c r="BQ13" s="4">
        <v>14.111526019450723</v>
      </c>
      <c r="BR13" s="4">
        <v>20.419233092393906</v>
      </c>
      <c r="BS13" s="4">
        <v>54.595839322653532</v>
      </c>
      <c r="BT13" s="4">
        <v>693.047417602574</v>
      </c>
      <c r="BU13" s="4">
        <v>0</v>
      </c>
      <c r="BV13" s="4">
        <v>0</v>
      </c>
      <c r="BW13" s="4">
        <v>0</v>
      </c>
      <c r="BX13" s="4">
        <v>0</v>
      </c>
      <c r="BY13" s="4">
        <v>0</v>
      </c>
      <c r="BZ13" s="4">
        <v>0</v>
      </c>
      <c r="CA13" s="4">
        <v>40.967701071074217</v>
      </c>
      <c r="CB13" s="4">
        <v>-191.44489467028973</v>
      </c>
      <c r="CC13" s="4">
        <v>105.09150114703814</v>
      </c>
      <c r="CD13" s="4">
        <v>45.385713675873269</v>
      </c>
      <c r="CE13" s="4">
        <v>10.392583262366783</v>
      </c>
      <c r="CF13" s="4">
        <v>0.56099875163126911</v>
      </c>
      <c r="CG13" s="4">
        <v>0</v>
      </c>
      <c r="CH13" s="4">
        <v>0</v>
      </c>
      <c r="CI13" s="4">
        <v>37.213292482949129</v>
      </c>
      <c r="CJ13" s="4">
        <v>15.238985505082157</v>
      </c>
      <c r="CK13" s="4">
        <v>44.81728450007374</v>
      </c>
      <c r="CL13" s="4">
        <v>0.62029479413846456</v>
      </c>
      <c r="CM13" s="4">
        <v>13.354965295473196</v>
      </c>
      <c r="CN13" s="4">
        <v>7.0842276600082652</v>
      </c>
      <c r="CO13" s="4">
        <v>0</v>
      </c>
      <c r="CP13" s="4">
        <v>0</v>
      </c>
      <c r="CQ13" s="4">
        <v>17.685599876916267</v>
      </c>
      <c r="CR13" s="4">
        <v>3.0442594413567883</v>
      </c>
      <c r="CS13" s="4">
        <v>29.499354753189188</v>
      </c>
      <c r="CT13" s="4">
        <v>31.618235374311968</v>
      </c>
      <c r="CU13" s="4">
        <v>4.1667444365517232</v>
      </c>
      <c r="CV13" s="4">
        <v>2.5462051837585062</v>
      </c>
      <c r="CW13" s="4">
        <v>3.1326889303000516</v>
      </c>
      <c r="CX13" s="4">
        <v>3.0134932838455515</v>
      </c>
      <c r="CY13" s="4">
        <v>19.219683913649128</v>
      </c>
      <c r="CZ13" s="4">
        <v>18.839898760560267</v>
      </c>
      <c r="DA13" s="4">
        <v>82.632751722618465</v>
      </c>
      <c r="DB13" s="4">
        <v>7.5503369349674125</v>
      </c>
      <c r="DC13" s="4">
        <v>2.2278652139365018</v>
      </c>
      <c r="DD13" s="4">
        <v>3.3804509014651161</v>
      </c>
      <c r="DE13" s="4">
        <v>0.80341765645792607</v>
      </c>
      <c r="DF13" s="4">
        <v>0.12920857598657831</v>
      </c>
      <c r="DG13" s="4">
        <v>1.1668505546542145</v>
      </c>
      <c r="DH13" s="4">
        <v>5.6329869692583392</v>
      </c>
      <c r="DI13" s="4">
        <v>26.460438345600814</v>
      </c>
      <c r="DJ13" s="4">
        <v>0</v>
      </c>
      <c r="DK13" s="4">
        <v>0</v>
      </c>
      <c r="DL13" s="4">
        <v>0</v>
      </c>
      <c r="DM13" s="4">
        <v>12.417884001392979</v>
      </c>
      <c r="DN13" s="4">
        <v>2.5253845493764344</v>
      </c>
      <c r="DO13" s="4">
        <v>1.9447828669392135</v>
      </c>
      <c r="DP13" s="4">
        <v>10.034601509706917</v>
      </c>
      <c r="DQ13" s="4">
        <v>2.15057476559587</v>
      </c>
      <c r="DR13" s="4">
        <v>1.8085356949628124</v>
      </c>
      <c r="DS13" s="4">
        <v>57.383806024080386</v>
      </c>
      <c r="DT13" s="4">
        <v>4.4975370000804924</v>
      </c>
      <c r="DU13" s="4">
        <v>64.817232271805267</v>
      </c>
      <c r="DV13" s="4">
        <v>74.125263093725749</v>
      </c>
      <c r="DW13" s="4">
        <v>0</v>
      </c>
      <c r="DX13" s="4">
        <v>0</v>
      </c>
      <c r="DY13" s="4">
        <v>0</v>
      </c>
      <c r="DZ13" s="4">
        <v>0</v>
      </c>
      <c r="EA13" s="4">
        <v>0</v>
      </c>
      <c r="EB13" s="4">
        <v>0</v>
      </c>
      <c r="EC13" s="4">
        <v>0</v>
      </c>
      <c r="ED13" s="4">
        <v>0</v>
      </c>
      <c r="EE13" s="4">
        <v>18.431845727963942</v>
      </c>
      <c r="EF13" s="4">
        <v>10.959814918367332</v>
      </c>
      <c r="EG13" s="4">
        <v>116.6001109602981</v>
      </c>
      <c r="EH13" s="4">
        <v>467.5130210357313</v>
      </c>
      <c r="EI13" s="4">
        <v>88.799161530058655</v>
      </c>
      <c r="EJ13" s="4">
        <v>0</v>
      </c>
      <c r="EK13" s="4">
        <v>0</v>
      </c>
      <c r="EL13" s="4">
        <v>-62.926989134594862</v>
      </c>
      <c r="EM13" s="4">
        <v>0</v>
      </c>
      <c r="EN13" s="4">
        <v>62.926989134594862</v>
      </c>
      <c r="EO13" s="4">
        <v>214.83898812996381</v>
      </c>
      <c r="EP13" s="4">
        <v>0</v>
      </c>
      <c r="EQ13" s="4">
        <v>74.370333127511131</v>
      </c>
      <c r="ER13" s="4">
        <v>277.06895330696568</v>
      </c>
      <c r="ES13" s="4">
        <v>0</v>
      </c>
      <c r="ET13" s="4">
        <v>27.351237516250663</v>
      </c>
      <c r="EU13" s="4">
        <v>381.08995634594987</v>
      </c>
      <c r="EV13" s="4">
        <v>40.255972192557124</v>
      </c>
      <c r="EW13" s="4">
        <v>8.3013789229721731</v>
      </c>
      <c r="EX13" s="4">
        <v>51.27596491448719</v>
      </c>
      <c r="EY13" s="4">
        <v>0</v>
      </c>
      <c r="EZ13" s="4">
        <v>0.73777145268280442</v>
      </c>
      <c r="FA13" s="4">
        <v>2.5413048504684466</v>
      </c>
      <c r="FB13" s="4">
        <v>0.85254074423800019</v>
      </c>
      <c r="FC13" s="4">
        <v>0.33426079324272512</v>
      </c>
      <c r="FD13" s="4">
        <v>0.13165397588467437</v>
      </c>
      <c r="FE13" s="4">
        <v>3.4782896395119423</v>
      </c>
      <c r="FF13" s="4">
        <v>3.9353528774222686</v>
      </c>
      <c r="FG13" s="4">
        <v>4.8023600836842277</v>
      </c>
      <c r="FH13" s="4">
        <v>13.090518363913795</v>
      </c>
      <c r="FI13" s="4">
        <v>0</v>
      </c>
      <c r="FJ13" s="4">
        <v>0</v>
      </c>
      <c r="FK13" s="4">
        <v>0</v>
      </c>
      <c r="FL13" s="4">
        <v>0</v>
      </c>
      <c r="FM13" s="4">
        <v>0</v>
      </c>
      <c r="FN13" s="4">
        <v>0</v>
      </c>
      <c r="FO13" s="4">
        <v>0</v>
      </c>
      <c r="FP13" s="4">
        <v>0</v>
      </c>
      <c r="FQ13" s="4">
        <v>0</v>
      </c>
    </row>
    <row r="14" spans="2:173" x14ac:dyDescent="0.35">
      <c r="B14" s="11">
        <v>3</v>
      </c>
      <c r="C14" s="11">
        <v>7</v>
      </c>
      <c r="D14" s="12" t="s">
        <v>172</v>
      </c>
      <c r="E14" s="3" t="s">
        <v>179</v>
      </c>
      <c r="F14" s="6">
        <f t="shared" si="0"/>
        <v>5166.7425806231076</v>
      </c>
      <c r="G14" s="4">
        <v>0</v>
      </c>
      <c r="H14" s="4">
        <v>0</v>
      </c>
      <c r="I14" s="4">
        <v>174.59778666652528</v>
      </c>
      <c r="J14" s="4">
        <v>78.014422644322053</v>
      </c>
      <c r="K14" s="4">
        <v>0</v>
      </c>
      <c r="L14" s="4">
        <v>193.28575643281266</v>
      </c>
      <c r="M14" s="4">
        <v>0</v>
      </c>
      <c r="N14" s="4">
        <v>27.460141216576577</v>
      </c>
      <c r="O14" s="4">
        <v>0</v>
      </c>
      <c r="P14" s="4">
        <v>4.3008401059570884</v>
      </c>
      <c r="Q14" s="4">
        <v>101.78654917431777</v>
      </c>
      <c r="R14" s="4">
        <v>0</v>
      </c>
      <c r="S14" s="4">
        <v>141.92772349658395</v>
      </c>
      <c r="T14" s="4">
        <v>38.358268358162967</v>
      </c>
      <c r="U14" s="4">
        <v>29.742628213761986</v>
      </c>
      <c r="V14" s="4">
        <v>0</v>
      </c>
      <c r="W14" s="4">
        <v>0</v>
      </c>
      <c r="X14" s="4">
        <v>0</v>
      </c>
      <c r="Y14" s="4">
        <v>54.206454870883668</v>
      </c>
      <c r="Z14" s="4">
        <v>8.6016802119141769</v>
      </c>
      <c r="AA14" s="4">
        <v>48.552464610980074</v>
      </c>
      <c r="AB14" s="4">
        <v>1.4336133686523629</v>
      </c>
      <c r="AC14" s="4">
        <v>26.352865410269317</v>
      </c>
      <c r="AD14" s="4">
        <v>12.812745507052194</v>
      </c>
      <c r="AE14" s="4">
        <v>0</v>
      </c>
      <c r="AF14" s="4">
        <v>105.41632211768571</v>
      </c>
      <c r="AG14" s="4">
        <v>32.732510228584786</v>
      </c>
      <c r="AH14" s="4">
        <v>0</v>
      </c>
      <c r="AI14" s="4">
        <v>112.01657347591291</v>
      </c>
      <c r="AJ14" s="4">
        <v>147.85621089558842</v>
      </c>
      <c r="AK14" s="4">
        <v>15.769747055175992</v>
      </c>
      <c r="AL14" s="4">
        <v>0</v>
      </c>
      <c r="AM14" s="4">
        <v>0</v>
      </c>
      <c r="AN14" s="4">
        <v>0</v>
      </c>
      <c r="AO14" s="4">
        <v>4.3008401059570884</v>
      </c>
      <c r="AP14" s="4">
        <v>7.1680668432618155</v>
      </c>
      <c r="AQ14" s="4">
        <v>0</v>
      </c>
      <c r="AR14" s="4">
        <v>15.652986448191166</v>
      </c>
      <c r="AS14" s="4">
        <v>0</v>
      </c>
      <c r="AT14" s="4">
        <v>122.75067554602903</v>
      </c>
      <c r="AU14" s="4">
        <v>3.7826904131963053</v>
      </c>
      <c r="AV14" s="4">
        <v>26.403149642938505</v>
      </c>
      <c r="AW14" s="4">
        <v>1.4336133686523629</v>
      </c>
      <c r="AX14" s="4">
        <v>15.469118905099391</v>
      </c>
      <c r="AY14" s="4">
        <v>113.97989556739216</v>
      </c>
      <c r="AZ14" s="4">
        <v>0</v>
      </c>
      <c r="BA14" s="4">
        <v>4.3008401059570884</v>
      </c>
      <c r="BB14" s="4">
        <v>46.584277504177756</v>
      </c>
      <c r="BC14" s="4">
        <v>1.4336133686523629</v>
      </c>
      <c r="BD14" s="4">
        <v>124.24787869051802</v>
      </c>
      <c r="BE14" s="4">
        <v>0</v>
      </c>
      <c r="BF14" s="4">
        <v>0</v>
      </c>
      <c r="BG14" s="4">
        <v>0</v>
      </c>
      <c r="BH14" s="4">
        <v>114.0221354454229</v>
      </c>
      <c r="BI14" s="4">
        <v>0</v>
      </c>
      <c r="BJ14" s="4">
        <v>0</v>
      </c>
      <c r="BK14" s="4">
        <v>0</v>
      </c>
      <c r="BL14" s="4">
        <v>0</v>
      </c>
      <c r="BM14" s="4">
        <v>0</v>
      </c>
      <c r="BN14" s="4">
        <v>0</v>
      </c>
      <c r="BO14" s="4">
        <v>0</v>
      </c>
      <c r="BP14" s="4">
        <v>0</v>
      </c>
      <c r="BQ14" s="4">
        <v>0</v>
      </c>
      <c r="BR14" s="4">
        <v>274.50396554811306</v>
      </c>
      <c r="BS14" s="4">
        <v>0</v>
      </c>
      <c r="BT14" s="4">
        <v>22.659108598746116</v>
      </c>
      <c r="BU14" s="4">
        <v>0</v>
      </c>
      <c r="BV14" s="4">
        <v>0</v>
      </c>
      <c r="BW14" s="4">
        <v>0</v>
      </c>
      <c r="BX14" s="4">
        <v>0</v>
      </c>
      <c r="BY14" s="4">
        <v>8.6016802119141769</v>
      </c>
      <c r="BZ14" s="4">
        <v>0</v>
      </c>
      <c r="CA14" s="4">
        <v>4.3008401059570884</v>
      </c>
      <c r="CB14" s="4">
        <v>0</v>
      </c>
      <c r="CC14" s="4">
        <v>2.8672267373047258</v>
      </c>
      <c r="CD14" s="4">
        <v>1.4336133686523629</v>
      </c>
      <c r="CE14" s="4">
        <v>7.1680668432618155</v>
      </c>
      <c r="CF14" s="4">
        <v>0</v>
      </c>
      <c r="CG14" s="4">
        <v>0</v>
      </c>
      <c r="CH14" s="4">
        <v>0</v>
      </c>
      <c r="CI14" s="4">
        <v>46.177289166426377</v>
      </c>
      <c r="CJ14" s="4">
        <v>15.950305281778279</v>
      </c>
      <c r="CK14" s="4">
        <v>102.55837289626508</v>
      </c>
      <c r="CL14" s="4">
        <v>16.476370987827082</v>
      </c>
      <c r="CM14" s="4">
        <v>29.711603416894999</v>
      </c>
      <c r="CN14" s="4">
        <v>8.3087398349753254</v>
      </c>
      <c r="CO14" s="4">
        <v>0</v>
      </c>
      <c r="CP14" s="4">
        <v>0</v>
      </c>
      <c r="CQ14" s="4">
        <v>25.649880399129927</v>
      </c>
      <c r="CR14" s="4">
        <v>21.527042578365503</v>
      </c>
      <c r="CS14" s="4">
        <v>61.248653384303708</v>
      </c>
      <c r="CT14" s="4">
        <v>58.580959948646559</v>
      </c>
      <c r="CU14" s="4">
        <v>8.9560568491656483</v>
      </c>
      <c r="CV14" s="4">
        <v>8.1542544938792929</v>
      </c>
      <c r="CW14" s="4">
        <v>11.070539661563243</v>
      </c>
      <c r="CX14" s="4">
        <v>4.0595881275516419</v>
      </c>
      <c r="CY14" s="4">
        <v>12.914325302847267</v>
      </c>
      <c r="CZ14" s="4">
        <v>12.902520317871266</v>
      </c>
      <c r="DA14" s="4">
        <v>109.32509196360625</v>
      </c>
      <c r="DB14" s="4">
        <v>9.6092402570644815</v>
      </c>
      <c r="DC14" s="4">
        <v>2.0895966258001124</v>
      </c>
      <c r="DD14" s="4">
        <v>5.0193717810683403</v>
      </c>
      <c r="DE14" s="4">
        <v>16.712882279846326</v>
      </c>
      <c r="DF14" s="4">
        <v>6.7842954024249629</v>
      </c>
      <c r="DG14" s="4">
        <v>2.4412803036335524</v>
      </c>
      <c r="DH14" s="4">
        <v>97.485709068360677</v>
      </c>
      <c r="DI14" s="4">
        <v>53.525240440777274</v>
      </c>
      <c r="DJ14" s="4">
        <v>0</v>
      </c>
      <c r="DK14" s="4">
        <v>0</v>
      </c>
      <c r="DL14" s="4">
        <v>0</v>
      </c>
      <c r="DM14" s="4">
        <v>41.733521731695141</v>
      </c>
      <c r="DN14" s="4">
        <v>11.468906949218903</v>
      </c>
      <c r="DO14" s="4">
        <v>7.5186714956415255</v>
      </c>
      <c r="DP14" s="4">
        <v>25.003740227517735</v>
      </c>
      <c r="DQ14" s="4">
        <v>47.814051057864113</v>
      </c>
      <c r="DR14" s="4">
        <v>57.141649414929027</v>
      </c>
      <c r="DS14" s="4">
        <v>137.82209241110607</v>
      </c>
      <c r="DT14" s="4">
        <v>71.755537955126769</v>
      </c>
      <c r="DU14" s="4">
        <v>69.624108802356304</v>
      </c>
      <c r="DV14" s="4">
        <v>0</v>
      </c>
      <c r="DW14" s="4">
        <v>0</v>
      </c>
      <c r="DX14" s="4">
        <v>0</v>
      </c>
      <c r="DY14" s="4">
        <v>0</v>
      </c>
      <c r="DZ14" s="4">
        <v>0</v>
      </c>
      <c r="EA14" s="4">
        <v>0</v>
      </c>
      <c r="EB14" s="4">
        <v>0</v>
      </c>
      <c r="EC14" s="4">
        <v>0</v>
      </c>
      <c r="ED14" s="4">
        <v>0</v>
      </c>
      <c r="EE14" s="4">
        <v>18.368810358078225</v>
      </c>
      <c r="EF14" s="4">
        <v>28.576461517590239</v>
      </c>
      <c r="EG14" s="4">
        <v>88.884028856446506</v>
      </c>
      <c r="EH14" s="4">
        <v>631.70105964068887</v>
      </c>
      <c r="EI14" s="4">
        <v>7.1680668432618155</v>
      </c>
      <c r="EJ14" s="4">
        <v>0</v>
      </c>
      <c r="EK14" s="4">
        <v>1.4336133686523629</v>
      </c>
      <c r="EL14" s="4">
        <v>0</v>
      </c>
      <c r="EM14" s="4">
        <v>1.4336133686523629</v>
      </c>
      <c r="EN14" s="4">
        <v>1.4336133686523629</v>
      </c>
      <c r="EO14" s="4">
        <v>188.53014684916994</v>
      </c>
      <c r="EP14" s="4">
        <v>0</v>
      </c>
      <c r="EQ14" s="4">
        <v>14.336133686523631</v>
      </c>
      <c r="ER14" s="4">
        <v>329.45145288270368</v>
      </c>
      <c r="ES14" s="4">
        <v>1.4336133686523629</v>
      </c>
      <c r="ET14" s="4">
        <v>61.680797573640533</v>
      </c>
      <c r="EU14" s="4">
        <v>253.89168963418041</v>
      </c>
      <c r="EV14" s="4">
        <v>7.1680668432618155</v>
      </c>
      <c r="EW14" s="4">
        <v>35.840334216309074</v>
      </c>
      <c r="EX14" s="4">
        <v>0</v>
      </c>
      <c r="EY14" s="4">
        <v>0</v>
      </c>
      <c r="EZ14" s="4">
        <v>0</v>
      </c>
      <c r="FA14" s="4">
        <v>0</v>
      </c>
      <c r="FB14" s="4">
        <v>0</v>
      </c>
      <c r="FC14" s="4">
        <v>0</v>
      </c>
      <c r="FD14" s="4">
        <v>0</v>
      </c>
      <c r="FE14" s="4">
        <v>0</v>
      </c>
      <c r="FF14" s="4">
        <v>0</v>
      </c>
      <c r="FG14" s="4">
        <v>0</v>
      </c>
      <c r="FH14" s="4">
        <v>0</v>
      </c>
      <c r="FI14" s="4">
        <v>0</v>
      </c>
      <c r="FJ14" s="4">
        <v>0</v>
      </c>
      <c r="FK14" s="4">
        <v>0</v>
      </c>
      <c r="FL14" s="4">
        <v>0</v>
      </c>
      <c r="FM14" s="4">
        <v>0</v>
      </c>
      <c r="FN14" s="4">
        <v>0</v>
      </c>
      <c r="FO14" s="4">
        <v>0</v>
      </c>
      <c r="FP14" s="4">
        <v>0</v>
      </c>
      <c r="FQ14" s="4">
        <v>0</v>
      </c>
    </row>
    <row r="15" spans="2:173" x14ac:dyDescent="0.35">
      <c r="B15" s="11">
        <v>3</v>
      </c>
      <c r="C15" s="11">
        <v>8</v>
      </c>
      <c r="D15" s="12" t="s">
        <v>172</v>
      </c>
      <c r="E15" s="3" t="s">
        <v>180</v>
      </c>
      <c r="F15" s="6">
        <f t="shared" si="0"/>
        <v>2691.9198914799636</v>
      </c>
      <c r="G15" s="4">
        <v>0</v>
      </c>
      <c r="H15" s="4">
        <v>15.579783880063115</v>
      </c>
      <c r="I15" s="4">
        <v>37.041003020948416</v>
      </c>
      <c r="J15" s="4">
        <v>20.10486281827524</v>
      </c>
      <c r="K15" s="4">
        <v>16.617856221139906</v>
      </c>
      <c r="L15" s="4">
        <v>56.476459958105814</v>
      </c>
      <c r="M15" s="4">
        <v>0.92006558406312999</v>
      </c>
      <c r="N15" s="4">
        <v>19.299837965771037</v>
      </c>
      <c r="O15" s="4">
        <v>0</v>
      </c>
      <c r="P15" s="4">
        <v>2.4231848248219268</v>
      </c>
      <c r="Q15" s="4">
        <v>0.62604334321404065</v>
      </c>
      <c r="R15" s="4">
        <v>16.510114189212018</v>
      </c>
      <c r="S15" s="4">
        <v>17.051580481783787</v>
      </c>
      <c r="T15" s="4">
        <v>25.162474327984146</v>
      </c>
      <c r="U15" s="4">
        <v>16.694151090402052</v>
      </c>
      <c r="V15" s="4">
        <v>2.4963838231199684</v>
      </c>
      <c r="W15" s="4">
        <v>3.6302117452832516</v>
      </c>
      <c r="X15" s="4">
        <v>0</v>
      </c>
      <c r="Y15" s="4">
        <v>22.661346357193331</v>
      </c>
      <c r="Z15" s="4">
        <v>2.6559737809844921</v>
      </c>
      <c r="AA15" s="4">
        <v>29.433382389045597</v>
      </c>
      <c r="AB15" s="4">
        <v>0</v>
      </c>
      <c r="AC15" s="4">
        <v>43.760759000681766</v>
      </c>
      <c r="AD15" s="4">
        <v>6.1321245532670492</v>
      </c>
      <c r="AE15" s="4">
        <v>0</v>
      </c>
      <c r="AF15" s="4">
        <v>70.209988866601165</v>
      </c>
      <c r="AG15" s="4">
        <v>10.862142215420729</v>
      </c>
      <c r="AH15" s="4">
        <v>0</v>
      </c>
      <c r="AI15" s="4">
        <v>15.474317737752074</v>
      </c>
      <c r="AJ15" s="4">
        <v>23.132089893128519</v>
      </c>
      <c r="AK15" s="4">
        <v>6.4202112324073504</v>
      </c>
      <c r="AL15" s="4">
        <v>0</v>
      </c>
      <c r="AM15" s="4">
        <v>0</v>
      </c>
      <c r="AN15" s="4">
        <v>0</v>
      </c>
      <c r="AO15" s="4">
        <v>4.7816698876834298</v>
      </c>
      <c r="AP15" s="4">
        <v>12.205495952798092</v>
      </c>
      <c r="AQ15" s="4">
        <v>0</v>
      </c>
      <c r="AR15" s="4">
        <v>9.8229236888370401</v>
      </c>
      <c r="AS15" s="4">
        <v>0</v>
      </c>
      <c r="AT15" s="4">
        <v>78.205435500238465</v>
      </c>
      <c r="AU15" s="4">
        <v>4.7145098209726228</v>
      </c>
      <c r="AV15" s="4">
        <v>20.559779883026465</v>
      </c>
      <c r="AW15" s="4">
        <v>0</v>
      </c>
      <c r="AX15" s="4">
        <v>3.2642975163718937</v>
      </c>
      <c r="AY15" s="4">
        <v>75.397202448813388</v>
      </c>
      <c r="AZ15" s="4">
        <v>0</v>
      </c>
      <c r="BA15" s="4">
        <v>1.2228078944484786</v>
      </c>
      <c r="BB15" s="4">
        <v>11.912137473968141</v>
      </c>
      <c r="BC15" s="4">
        <v>0</v>
      </c>
      <c r="BD15" s="4">
        <v>7.7858906588636829</v>
      </c>
      <c r="BE15" s="4">
        <v>6.7080208353246293</v>
      </c>
      <c r="BF15" s="4">
        <v>1.8650643098107027</v>
      </c>
      <c r="BG15" s="4">
        <v>18.308565969759716</v>
      </c>
      <c r="BH15" s="4">
        <v>57.55318267887229</v>
      </c>
      <c r="BI15" s="4">
        <v>0</v>
      </c>
      <c r="BJ15" s="4">
        <v>0</v>
      </c>
      <c r="BK15" s="4">
        <v>0</v>
      </c>
      <c r="BL15" s="4">
        <v>0</v>
      </c>
      <c r="BM15" s="4">
        <v>0</v>
      </c>
      <c r="BN15" s="4">
        <v>0</v>
      </c>
      <c r="BO15" s="4">
        <v>36.860247719466912</v>
      </c>
      <c r="BP15" s="4">
        <v>8.0923277001482052</v>
      </c>
      <c r="BQ15" s="4">
        <v>28.958743293602062</v>
      </c>
      <c r="BR15" s="4">
        <v>93.376802960788424</v>
      </c>
      <c r="BS15" s="4">
        <v>30.638719742227075</v>
      </c>
      <c r="BT15" s="4">
        <v>68.065713375140263</v>
      </c>
      <c r="BU15" s="4">
        <v>0</v>
      </c>
      <c r="BV15" s="4">
        <v>0</v>
      </c>
      <c r="BW15" s="4">
        <v>0</v>
      </c>
      <c r="BX15" s="4">
        <v>0</v>
      </c>
      <c r="BY15" s="4">
        <v>0</v>
      </c>
      <c r="BZ15" s="4">
        <v>0</v>
      </c>
      <c r="CA15" s="4">
        <v>0</v>
      </c>
      <c r="CB15" s="4">
        <v>0</v>
      </c>
      <c r="CC15" s="4">
        <v>0</v>
      </c>
      <c r="CD15" s="4">
        <v>0</v>
      </c>
      <c r="CE15" s="4">
        <v>2.8375260237771029</v>
      </c>
      <c r="CF15" s="4">
        <v>0</v>
      </c>
      <c r="CG15" s="4">
        <v>0</v>
      </c>
      <c r="CH15" s="4">
        <v>0</v>
      </c>
      <c r="CI15" s="4">
        <v>7.7759296568920879</v>
      </c>
      <c r="CJ15" s="4">
        <v>11.14184404606222</v>
      </c>
      <c r="CK15" s="4">
        <v>47.626594678497334</v>
      </c>
      <c r="CL15" s="4">
        <v>6.9675620226564154</v>
      </c>
      <c r="CM15" s="4">
        <v>14.986608110048204</v>
      </c>
      <c r="CN15" s="4">
        <v>2.5898757086082811</v>
      </c>
      <c r="CO15" s="4">
        <v>0.77749430198769987</v>
      </c>
      <c r="CP15" s="4">
        <v>0</v>
      </c>
      <c r="CQ15" s="4">
        <v>29.228453490474795</v>
      </c>
      <c r="CR15" s="4">
        <v>9.0806077864819716</v>
      </c>
      <c r="CS15" s="4">
        <v>11.891795468775527</v>
      </c>
      <c r="CT15" s="4">
        <v>48.245798999186292</v>
      </c>
      <c r="CU15" s="4">
        <v>1.4029447428831683</v>
      </c>
      <c r="CV15" s="4">
        <v>1.4614394871724272</v>
      </c>
      <c r="CW15" s="4">
        <v>3.6501145177096177</v>
      </c>
      <c r="CX15" s="4">
        <v>4.2354911255818681</v>
      </c>
      <c r="CY15" s="4">
        <v>12.107647225254874</v>
      </c>
      <c r="CZ15" s="4">
        <v>6.6176707918740387</v>
      </c>
      <c r="DA15" s="4">
        <v>34.097058085248705</v>
      </c>
      <c r="DB15" s="4">
        <v>6.1061471635253373</v>
      </c>
      <c r="DC15" s="4">
        <v>3.9527377697057648</v>
      </c>
      <c r="DD15" s="4">
        <v>2.8706933976946911</v>
      </c>
      <c r="DE15" s="4">
        <v>6.8979388534693751</v>
      </c>
      <c r="DF15" s="4">
        <v>2.7956846504510668</v>
      </c>
      <c r="DG15" s="4">
        <v>1.5985588042684602</v>
      </c>
      <c r="DH15" s="4">
        <v>0</v>
      </c>
      <c r="DI15" s="4">
        <v>0.72592909937162486</v>
      </c>
      <c r="DJ15" s="4">
        <v>-6.9022163353032289</v>
      </c>
      <c r="DK15" s="4">
        <v>0</v>
      </c>
      <c r="DL15" s="4">
        <v>0</v>
      </c>
      <c r="DM15" s="4">
        <v>26.212404790017747</v>
      </c>
      <c r="DN15" s="4">
        <v>2.1659248622340841</v>
      </c>
      <c r="DO15" s="4">
        <v>7.3975193795245877</v>
      </c>
      <c r="DP15" s="4">
        <v>21.384302032170389</v>
      </c>
      <c r="DQ15" s="4">
        <v>9.029109648254293</v>
      </c>
      <c r="DR15" s="4">
        <v>5.409415634843854</v>
      </c>
      <c r="DS15" s="4">
        <v>26.13806199221094</v>
      </c>
      <c r="DT15" s="4">
        <v>7.2178580188118167</v>
      </c>
      <c r="DU15" s="4">
        <v>4.2238334267035622</v>
      </c>
      <c r="DV15" s="4">
        <v>51.81420179167938</v>
      </c>
      <c r="DW15" s="4">
        <v>0</v>
      </c>
      <c r="DX15" s="4">
        <v>0</v>
      </c>
      <c r="DY15" s="4">
        <v>0</v>
      </c>
      <c r="DZ15" s="4">
        <v>0</v>
      </c>
      <c r="EA15" s="4">
        <v>0</v>
      </c>
      <c r="EB15" s="4">
        <v>0</v>
      </c>
      <c r="EC15" s="4">
        <v>0</v>
      </c>
      <c r="ED15" s="4">
        <v>0</v>
      </c>
      <c r="EE15" s="4">
        <v>7.2557332159418726</v>
      </c>
      <c r="EF15" s="4">
        <v>12.184876844520025</v>
      </c>
      <c r="EG15" s="4">
        <v>0</v>
      </c>
      <c r="EH15" s="4">
        <v>694.20951748454513</v>
      </c>
      <c r="EI15" s="4">
        <v>0</v>
      </c>
      <c r="EJ15" s="4">
        <v>0</v>
      </c>
      <c r="EK15" s="4">
        <v>0</v>
      </c>
      <c r="EL15" s="4">
        <v>0</v>
      </c>
      <c r="EM15" s="4">
        <v>0</v>
      </c>
      <c r="EN15" s="4">
        <v>0</v>
      </c>
      <c r="EO15" s="4">
        <v>147.68416862435899</v>
      </c>
      <c r="EP15" s="4">
        <v>0</v>
      </c>
      <c r="EQ15" s="4">
        <v>0</v>
      </c>
      <c r="ER15" s="4">
        <v>144.75080349967109</v>
      </c>
      <c r="ES15" s="4">
        <v>0</v>
      </c>
      <c r="ET15" s="4">
        <v>47.718674774714941</v>
      </c>
      <c r="EU15" s="4">
        <v>135.07119577376389</v>
      </c>
      <c r="EV15" s="4">
        <v>21.867947181901354</v>
      </c>
      <c r="EW15" s="4">
        <v>23.227689741198294</v>
      </c>
      <c r="EX15" s="4">
        <v>20.500021978735223</v>
      </c>
      <c r="EY15" s="4">
        <v>0</v>
      </c>
      <c r="EZ15" s="4">
        <v>2.4758658533484192</v>
      </c>
      <c r="FA15" s="4">
        <v>4.665781858253732</v>
      </c>
      <c r="FB15" s="4">
        <v>0.3321067865463625</v>
      </c>
      <c r="FC15" s="4">
        <v>0.16757589793694466</v>
      </c>
      <c r="FD15" s="4">
        <v>0</v>
      </c>
      <c r="FE15" s="4">
        <v>2.0907897913629028</v>
      </c>
      <c r="FF15" s="4">
        <v>1.071212471545169</v>
      </c>
      <c r="FG15" s="4">
        <v>2.3034076354173934</v>
      </c>
      <c r="FH15" s="4">
        <v>4.266999440029708</v>
      </c>
      <c r="FI15" s="4">
        <v>0</v>
      </c>
      <c r="FJ15" s="4">
        <v>0</v>
      </c>
      <c r="FK15" s="4">
        <v>0</v>
      </c>
      <c r="FL15" s="4">
        <v>0</v>
      </c>
      <c r="FM15" s="4">
        <v>0</v>
      </c>
      <c r="FN15" s="4">
        <v>0</v>
      </c>
      <c r="FO15" s="4">
        <v>0</v>
      </c>
      <c r="FP15" s="4">
        <v>0</v>
      </c>
      <c r="FQ15" s="4">
        <v>0</v>
      </c>
    </row>
    <row r="16" spans="2:173" ht="29" x14ac:dyDescent="0.35">
      <c r="B16" s="11">
        <v>3</v>
      </c>
      <c r="C16" s="11">
        <v>9</v>
      </c>
      <c r="D16" s="12" t="s">
        <v>181</v>
      </c>
      <c r="E16" s="3" t="s">
        <v>182</v>
      </c>
      <c r="F16" s="6">
        <f t="shared" si="0"/>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c r="BO16" s="4">
        <v>0</v>
      </c>
      <c r="BP16" s="4">
        <v>0</v>
      </c>
      <c r="BQ16" s="4">
        <v>0</v>
      </c>
      <c r="BR16" s="4">
        <v>0</v>
      </c>
      <c r="BS16" s="4">
        <v>0</v>
      </c>
      <c r="BT16" s="4">
        <v>0</v>
      </c>
      <c r="BU16" s="4">
        <v>0</v>
      </c>
      <c r="BV16" s="4">
        <v>0</v>
      </c>
      <c r="BW16" s="4">
        <v>0</v>
      </c>
      <c r="BX16" s="4">
        <v>0</v>
      </c>
      <c r="BY16" s="4">
        <v>0</v>
      </c>
      <c r="BZ16" s="4">
        <v>0</v>
      </c>
      <c r="CA16" s="4">
        <v>0</v>
      </c>
      <c r="CB16" s="4">
        <v>0</v>
      </c>
      <c r="CC16" s="4">
        <v>0</v>
      </c>
      <c r="CD16" s="4">
        <v>0</v>
      </c>
      <c r="CE16" s="4">
        <v>0</v>
      </c>
      <c r="CF16" s="4">
        <v>0</v>
      </c>
      <c r="CG16" s="4">
        <v>0</v>
      </c>
      <c r="CH16" s="4">
        <v>0</v>
      </c>
      <c r="CI16" s="4">
        <v>0</v>
      </c>
      <c r="CJ16" s="4">
        <v>0</v>
      </c>
      <c r="CK16" s="4">
        <v>0</v>
      </c>
      <c r="CL16" s="4">
        <v>0</v>
      </c>
      <c r="CM16" s="4">
        <v>0</v>
      </c>
      <c r="CN16" s="4">
        <v>0</v>
      </c>
      <c r="CO16" s="4">
        <v>0</v>
      </c>
      <c r="CP16" s="4">
        <v>0</v>
      </c>
      <c r="CQ16" s="4">
        <v>0</v>
      </c>
      <c r="CR16" s="4">
        <v>0</v>
      </c>
      <c r="CS16" s="4">
        <v>0</v>
      </c>
      <c r="CT16" s="4">
        <v>0</v>
      </c>
      <c r="CU16" s="4">
        <v>0</v>
      </c>
      <c r="CV16" s="4">
        <v>0</v>
      </c>
      <c r="CW16" s="4">
        <v>0</v>
      </c>
      <c r="CX16" s="4">
        <v>0</v>
      </c>
      <c r="CY16" s="4">
        <v>0</v>
      </c>
      <c r="CZ16" s="4">
        <v>0</v>
      </c>
      <c r="DA16" s="4">
        <v>0</v>
      </c>
      <c r="DB16" s="4">
        <v>0</v>
      </c>
      <c r="DC16" s="4">
        <v>0</v>
      </c>
      <c r="DD16" s="4">
        <v>0</v>
      </c>
      <c r="DE16" s="4">
        <v>0</v>
      </c>
      <c r="DF16" s="4">
        <v>0</v>
      </c>
      <c r="DG16" s="4">
        <v>0</v>
      </c>
      <c r="DH16" s="4">
        <v>0</v>
      </c>
      <c r="DI16" s="4">
        <v>0</v>
      </c>
      <c r="DJ16" s="4">
        <v>0</v>
      </c>
      <c r="DK16" s="4">
        <v>0</v>
      </c>
      <c r="DL16" s="4">
        <v>0</v>
      </c>
      <c r="DM16" s="4">
        <v>0</v>
      </c>
      <c r="DN16" s="4">
        <v>0</v>
      </c>
      <c r="DO16" s="4">
        <v>0</v>
      </c>
      <c r="DP16" s="4">
        <v>0</v>
      </c>
      <c r="DQ16" s="4">
        <v>0</v>
      </c>
      <c r="DR16" s="4">
        <v>0</v>
      </c>
      <c r="DS16" s="4">
        <v>0</v>
      </c>
      <c r="DT16" s="4">
        <v>0</v>
      </c>
      <c r="DU16" s="4">
        <v>0</v>
      </c>
      <c r="DV16" s="4">
        <v>0</v>
      </c>
      <c r="DW16" s="4">
        <v>0</v>
      </c>
      <c r="DX16" s="4">
        <v>0</v>
      </c>
      <c r="DY16" s="4">
        <v>0</v>
      </c>
      <c r="DZ16" s="4">
        <v>0</v>
      </c>
      <c r="EA16" s="4">
        <v>0</v>
      </c>
      <c r="EB16" s="4">
        <v>0</v>
      </c>
      <c r="EC16" s="4">
        <v>0</v>
      </c>
      <c r="ED16" s="4">
        <v>0</v>
      </c>
      <c r="EE16" s="4">
        <v>0</v>
      </c>
      <c r="EF16" s="4">
        <v>0</v>
      </c>
      <c r="EG16" s="4">
        <v>0</v>
      </c>
      <c r="EH16" s="4">
        <v>0</v>
      </c>
      <c r="EI16" s="4">
        <v>0</v>
      </c>
      <c r="EJ16" s="4">
        <v>0</v>
      </c>
      <c r="EK16" s="4">
        <v>0</v>
      </c>
      <c r="EL16" s="4">
        <v>0</v>
      </c>
      <c r="EM16" s="4">
        <v>0</v>
      </c>
      <c r="EN16" s="4">
        <v>0</v>
      </c>
      <c r="EO16" s="4">
        <v>0</v>
      </c>
      <c r="EP16" s="4">
        <v>0</v>
      </c>
      <c r="EQ16" s="4">
        <v>0</v>
      </c>
      <c r="ER16" s="4">
        <v>0</v>
      </c>
      <c r="ES16" s="4">
        <v>0</v>
      </c>
      <c r="ET16" s="4">
        <v>0</v>
      </c>
      <c r="EU16" s="4">
        <v>0</v>
      </c>
      <c r="EV16" s="4">
        <v>0</v>
      </c>
      <c r="EW16" s="4">
        <v>0</v>
      </c>
      <c r="EX16" s="4">
        <v>0</v>
      </c>
      <c r="EY16" s="4">
        <v>0</v>
      </c>
      <c r="EZ16" s="4">
        <v>0</v>
      </c>
      <c r="FA16" s="4">
        <v>0</v>
      </c>
      <c r="FB16" s="4">
        <v>0</v>
      </c>
      <c r="FC16" s="4">
        <v>0</v>
      </c>
      <c r="FD16" s="4">
        <v>0</v>
      </c>
      <c r="FE16" s="4">
        <v>0</v>
      </c>
      <c r="FF16" s="4">
        <v>0</v>
      </c>
      <c r="FG16" s="4">
        <v>0</v>
      </c>
      <c r="FH16" s="4">
        <v>0</v>
      </c>
      <c r="FI16" s="4">
        <v>0</v>
      </c>
      <c r="FJ16" s="4">
        <v>0</v>
      </c>
      <c r="FK16" s="4">
        <v>0</v>
      </c>
      <c r="FL16" s="4">
        <v>0</v>
      </c>
      <c r="FM16" s="4">
        <v>0</v>
      </c>
      <c r="FN16" s="4">
        <v>0</v>
      </c>
      <c r="FO16" s="4">
        <v>0</v>
      </c>
      <c r="FP16" s="4">
        <v>0</v>
      </c>
      <c r="FQ16" s="4">
        <v>0</v>
      </c>
    </row>
    <row r="17" spans="2:173" x14ac:dyDescent="0.35">
      <c r="B17" s="11">
        <v>3</v>
      </c>
      <c r="C17" s="11">
        <v>10</v>
      </c>
      <c r="D17" s="12" t="s">
        <v>181</v>
      </c>
      <c r="E17" s="3" t="s">
        <v>183</v>
      </c>
      <c r="F17" s="6">
        <f t="shared" si="0"/>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c r="BO17" s="4">
        <v>0</v>
      </c>
      <c r="BP17" s="4">
        <v>0</v>
      </c>
      <c r="BQ17" s="4">
        <v>0</v>
      </c>
      <c r="BR17" s="4">
        <v>0</v>
      </c>
      <c r="BS17" s="4">
        <v>0</v>
      </c>
      <c r="BT17" s="4">
        <v>0</v>
      </c>
      <c r="BU17" s="4">
        <v>0</v>
      </c>
      <c r="BV17" s="4">
        <v>0</v>
      </c>
      <c r="BW17" s="4">
        <v>0</v>
      </c>
      <c r="BX17" s="4">
        <v>0</v>
      </c>
      <c r="BY17" s="4">
        <v>0</v>
      </c>
      <c r="BZ17" s="4">
        <v>0</v>
      </c>
      <c r="CA17" s="4">
        <v>0</v>
      </c>
      <c r="CB17" s="4">
        <v>0</v>
      </c>
      <c r="CC17" s="4">
        <v>0</v>
      </c>
      <c r="CD17" s="4">
        <v>0</v>
      </c>
      <c r="CE17" s="4">
        <v>0</v>
      </c>
      <c r="CF17" s="4">
        <v>0</v>
      </c>
      <c r="CG17" s="4">
        <v>0</v>
      </c>
      <c r="CH17" s="4">
        <v>0</v>
      </c>
      <c r="CI17" s="4">
        <v>0</v>
      </c>
      <c r="CJ17" s="4">
        <v>0</v>
      </c>
      <c r="CK17" s="4">
        <v>0</v>
      </c>
      <c r="CL17" s="4">
        <v>0</v>
      </c>
      <c r="CM17" s="4">
        <v>0</v>
      </c>
      <c r="CN17" s="4">
        <v>0</v>
      </c>
      <c r="CO17" s="4">
        <v>0</v>
      </c>
      <c r="CP17" s="4">
        <v>0</v>
      </c>
      <c r="CQ17" s="4">
        <v>0</v>
      </c>
      <c r="CR17" s="4">
        <v>0</v>
      </c>
      <c r="CS17" s="4">
        <v>0</v>
      </c>
      <c r="CT17" s="4">
        <v>0</v>
      </c>
      <c r="CU17" s="4">
        <v>0</v>
      </c>
      <c r="CV17" s="4">
        <v>0</v>
      </c>
      <c r="CW17" s="4">
        <v>0</v>
      </c>
      <c r="CX17" s="4">
        <v>0</v>
      </c>
      <c r="CY17" s="4">
        <v>0</v>
      </c>
      <c r="CZ17" s="4">
        <v>0</v>
      </c>
      <c r="DA17" s="4">
        <v>0</v>
      </c>
      <c r="DB17" s="4">
        <v>0</v>
      </c>
      <c r="DC17" s="4">
        <v>0</v>
      </c>
      <c r="DD17" s="4">
        <v>0</v>
      </c>
      <c r="DE17" s="4">
        <v>0</v>
      </c>
      <c r="DF17" s="4">
        <v>0</v>
      </c>
      <c r="DG17" s="4">
        <v>0</v>
      </c>
      <c r="DH17" s="4">
        <v>0</v>
      </c>
      <c r="DI17" s="4">
        <v>0</v>
      </c>
      <c r="DJ17" s="4">
        <v>0</v>
      </c>
      <c r="DK17" s="4">
        <v>0</v>
      </c>
      <c r="DL17" s="4">
        <v>0</v>
      </c>
      <c r="DM17" s="4">
        <v>0</v>
      </c>
      <c r="DN17" s="4">
        <v>0</v>
      </c>
      <c r="DO17" s="4">
        <v>0</v>
      </c>
      <c r="DP17" s="4">
        <v>0</v>
      </c>
      <c r="DQ17" s="4">
        <v>0</v>
      </c>
      <c r="DR17" s="4">
        <v>0</v>
      </c>
      <c r="DS17" s="4">
        <v>0</v>
      </c>
      <c r="DT17" s="4">
        <v>0</v>
      </c>
      <c r="DU17" s="4">
        <v>0</v>
      </c>
      <c r="DV17" s="4">
        <v>0</v>
      </c>
      <c r="DW17" s="4">
        <v>0</v>
      </c>
      <c r="DX17" s="4">
        <v>0</v>
      </c>
      <c r="DY17" s="4">
        <v>0</v>
      </c>
      <c r="DZ17" s="4">
        <v>0</v>
      </c>
      <c r="EA17" s="4">
        <v>0</v>
      </c>
      <c r="EB17" s="4">
        <v>0</v>
      </c>
      <c r="EC17" s="4">
        <v>0</v>
      </c>
      <c r="ED17" s="4">
        <v>0</v>
      </c>
      <c r="EE17" s="4">
        <v>0</v>
      </c>
      <c r="EF17" s="4">
        <v>0</v>
      </c>
      <c r="EG17" s="4">
        <v>0</v>
      </c>
      <c r="EH17" s="4">
        <v>0</v>
      </c>
      <c r="EI17" s="4">
        <v>0</v>
      </c>
      <c r="EJ17" s="4">
        <v>0</v>
      </c>
      <c r="EK17" s="4">
        <v>0</v>
      </c>
      <c r="EL17" s="4">
        <v>0</v>
      </c>
      <c r="EM17" s="4">
        <v>0</v>
      </c>
      <c r="EN17" s="4">
        <v>0</v>
      </c>
      <c r="EO17" s="4">
        <v>0</v>
      </c>
      <c r="EP17" s="4">
        <v>0</v>
      </c>
      <c r="EQ17" s="4">
        <v>0</v>
      </c>
      <c r="ER17" s="4">
        <v>0</v>
      </c>
      <c r="ES17" s="4">
        <v>0</v>
      </c>
      <c r="ET17" s="4">
        <v>0</v>
      </c>
      <c r="EU17" s="4">
        <v>0</v>
      </c>
      <c r="EV17" s="4">
        <v>0</v>
      </c>
      <c r="EW17" s="4">
        <v>0</v>
      </c>
      <c r="EX17" s="4">
        <v>0</v>
      </c>
      <c r="EY17" s="4">
        <v>0</v>
      </c>
      <c r="EZ17" s="4">
        <v>0</v>
      </c>
      <c r="FA17" s="4">
        <v>0</v>
      </c>
      <c r="FB17" s="4">
        <v>0</v>
      </c>
      <c r="FC17" s="4">
        <v>0</v>
      </c>
      <c r="FD17" s="4">
        <v>0</v>
      </c>
      <c r="FE17" s="4">
        <v>0</v>
      </c>
      <c r="FF17" s="4">
        <v>0</v>
      </c>
      <c r="FG17" s="4">
        <v>0</v>
      </c>
      <c r="FH17" s="4">
        <v>0</v>
      </c>
      <c r="FI17" s="4">
        <v>0</v>
      </c>
      <c r="FJ17" s="4">
        <v>0</v>
      </c>
      <c r="FK17" s="4">
        <v>0</v>
      </c>
      <c r="FL17" s="4">
        <v>0</v>
      </c>
      <c r="FM17" s="4">
        <v>0</v>
      </c>
      <c r="FN17" s="4">
        <v>0</v>
      </c>
      <c r="FO17" s="4">
        <v>0</v>
      </c>
      <c r="FP17" s="4">
        <v>0</v>
      </c>
      <c r="FQ17" s="4">
        <v>0</v>
      </c>
    </row>
    <row r="18" spans="2:173" x14ac:dyDescent="0.35">
      <c r="B18" s="11">
        <v>3</v>
      </c>
      <c r="C18" s="11">
        <v>11</v>
      </c>
      <c r="D18" s="12" t="s">
        <v>181</v>
      </c>
      <c r="E18" s="3" t="s">
        <v>184</v>
      </c>
      <c r="F18" s="6">
        <f t="shared" si="0"/>
        <v>1722.2300450773316</v>
      </c>
      <c r="G18" s="4">
        <v>0</v>
      </c>
      <c r="H18" s="4">
        <v>0</v>
      </c>
      <c r="I18" s="4">
        <v>836.8489316299864</v>
      </c>
      <c r="J18" s="4">
        <v>0</v>
      </c>
      <c r="K18" s="4">
        <v>0</v>
      </c>
      <c r="L18" s="4">
        <v>0</v>
      </c>
      <c r="M18" s="4">
        <v>0</v>
      </c>
      <c r="N18" s="4">
        <v>0</v>
      </c>
      <c r="O18" s="4">
        <v>0</v>
      </c>
      <c r="P18" s="4">
        <v>0</v>
      </c>
      <c r="Q18" s="4">
        <v>474.82489488603898</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410.55621856130614</v>
      </c>
      <c r="AS18" s="4">
        <v>0</v>
      </c>
      <c r="AT18" s="4">
        <v>0</v>
      </c>
      <c r="AU18" s="4">
        <v>0</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c r="BO18" s="4">
        <v>0</v>
      </c>
      <c r="BP18" s="4">
        <v>0</v>
      </c>
      <c r="BQ18" s="4">
        <v>0</v>
      </c>
      <c r="BR18" s="4">
        <v>0</v>
      </c>
      <c r="BS18" s="4">
        <v>0</v>
      </c>
      <c r="BT18" s="4">
        <v>0</v>
      </c>
      <c r="BU18" s="4">
        <v>0</v>
      </c>
      <c r="BV18" s="4">
        <v>0</v>
      </c>
      <c r="BW18" s="4">
        <v>0</v>
      </c>
      <c r="BX18" s="4">
        <v>0</v>
      </c>
      <c r="BY18" s="4">
        <v>0</v>
      </c>
      <c r="BZ18" s="4">
        <v>0</v>
      </c>
      <c r="CA18" s="4">
        <v>0</v>
      </c>
      <c r="CB18" s="4">
        <v>0</v>
      </c>
      <c r="CC18" s="4">
        <v>0</v>
      </c>
      <c r="CD18" s="4">
        <v>0</v>
      </c>
      <c r="CE18" s="4">
        <v>0</v>
      </c>
      <c r="CF18" s="4">
        <v>0</v>
      </c>
      <c r="CG18" s="4">
        <v>0</v>
      </c>
      <c r="CH18" s="4">
        <v>0</v>
      </c>
      <c r="CI18" s="4">
        <v>0</v>
      </c>
      <c r="CJ18" s="4">
        <v>0</v>
      </c>
      <c r="CK18" s="4">
        <v>0</v>
      </c>
      <c r="CL18" s="4">
        <v>0</v>
      </c>
      <c r="CM18" s="4">
        <v>0</v>
      </c>
      <c r="CN18" s="4">
        <v>0</v>
      </c>
      <c r="CO18" s="4">
        <v>0</v>
      </c>
      <c r="CP18" s="4">
        <v>0</v>
      </c>
      <c r="CQ18" s="4">
        <v>0</v>
      </c>
      <c r="CR18" s="4">
        <v>0</v>
      </c>
      <c r="CS18" s="4">
        <v>0</v>
      </c>
      <c r="CT18" s="4">
        <v>0</v>
      </c>
      <c r="CU18" s="4">
        <v>0</v>
      </c>
      <c r="CV18" s="4">
        <v>0</v>
      </c>
      <c r="CW18" s="4">
        <v>0</v>
      </c>
      <c r="CX18" s="4">
        <v>0</v>
      </c>
      <c r="CY18" s="4">
        <v>0</v>
      </c>
      <c r="CZ18" s="4">
        <v>0</v>
      </c>
      <c r="DA18" s="4">
        <v>0</v>
      </c>
      <c r="DB18" s="4">
        <v>0</v>
      </c>
      <c r="DC18" s="4">
        <v>0</v>
      </c>
      <c r="DD18" s="4">
        <v>0</v>
      </c>
      <c r="DE18" s="4">
        <v>0</v>
      </c>
      <c r="DF18" s="4">
        <v>0</v>
      </c>
      <c r="DG18" s="4">
        <v>0</v>
      </c>
      <c r="DH18" s="4">
        <v>0</v>
      </c>
      <c r="DI18" s="4">
        <v>0</v>
      </c>
      <c r="DJ18" s="4">
        <v>0</v>
      </c>
      <c r="DK18" s="4">
        <v>0</v>
      </c>
      <c r="DL18" s="4">
        <v>0</v>
      </c>
      <c r="DM18" s="4">
        <v>0</v>
      </c>
      <c r="DN18" s="4">
        <v>0</v>
      </c>
      <c r="DO18" s="4">
        <v>0</v>
      </c>
      <c r="DP18" s="4">
        <v>0</v>
      </c>
      <c r="DQ18" s="4">
        <v>0</v>
      </c>
      <c r="DR18" s="4">
        <v>0</v>
      </c>
      <c r="DS18" s="4">
        <v>0</v>
      </c>
      <c r="DT18" s="4">
        <v>0</v>
      </c>
      <c r="DU18" s="4">
        <v>0</v>
      </c>
      <c r="DV18" s="4">
        <v>0</v>
      </c>
      <c r="DW18" s="4">
        <v>0</v>
      </c>
      <c r="DX18" s="4">
        <v>0</v>
      </c>
      <c r="DY18" s="4">
        <v>0</v>
      </c>
      <c r="DZ18" s="4">
        <v>0</v>
      </c>
      <c r="EA18" s="4">
        <v>0</v>
      </c>
      <c r="EB18" s="4">
        <v>0</v>
      </c>
      <c r="EC18" s="4">
        <v>0</v>
      </c>
      <c r="ED18" s="4">
        <v>0</v>
      </c>
      <c r="EE18" s="4">
        <v>0</v>
      </c>
      <c r="EF18" s="4">
        <v>0</v>
      </c>
      <c r="EG18" s="4">
        <v>0</v>
      </c>
      <c r="EH18" s="4">
        <v>0</v>
      </c>
      <c r="EI18" s="4">
        <v>0</v>
      </c>
      <c r="EJ18" s="4">
        <v>0</v>
      </c>
      <c r="EK18" s="4">
        <v>0</v>
      </c>
      <c r="EL18" s="4">
        <v>0</v>
      </c>
      <c r="EM18" s="4">
        <v>0</v>
      </c>
      <c r="EN18" s="4">
        <v>0</v>
      </c>
      <c r="EO18" s="4">
        <v>0</v>
      </c>
      <c r="EP18" s="4">
        <v>0</v>
      </c>
      <c r="EQ18" s="4">
        <v>0</v>
      </c>
      <c r="ER18" s="4">
        <v>0</v>
      </c>
      <c r="ES18" s="4">
        <v>0</v>
      </c>
      <c r="ET18" s="4">
        <v>0</v>
      </c>
      <c r="EU18" s="4">
        <v>0</v>
      </c>
      <c r="EV18" s="4">
        <v>0</v>
      </c>
      <c r="EW18" s="4">
        <v>0</v>
      </c>
      <c r="EX18" s="4">
        <v>0</v>
      </c>
      <c r="EY18" s="4">
        <v>0</v>
      </c>
      <c r="EZ18" s="4">
        <v>0</v>
      </c>
      <c r="FA18" s="4">
        <v>0</v>
      </c>
      <c r="FB18" s="4">
        <v>0</v>
      </c>
      <c r="FC18" s="4">
        <v>0</v>
      </c>
      <c r="FD18" s="4">
        <v>0</v>
      </c>
      <c r="FE18" s="4">
        <v>0</v>
      </c>
      <c r="FF18" s="4">
        <v>0</v>
      </c>
      <c r="FG18" s="4">
        <v>0</v>
      </c>
      <c r="FH18" s="4">
        <v>0</v>
      </c>
      <c r="FI18" s="4">
        <v>0</v>
      </c>
      <c r="FJ18" s="4">
        <v>0</v>
      </c>
      <c r="FK18" s="4">
        <v>0</v>
      </c>
      <c r="FL18" s="4">
        <v>0</v>
      </c>
      <c r="FM18" s="4">
        <v>0</v>
      </c>
      <c r="FN18" s="4">
        <v>0</v>
      </c>
      <c r="FO18" s="4">
        <v>0</v>
      </c>
      <c r="FP18" s="4">
        <v>0</v>
      </c>
      <c r="FQ18" s="4">
        <v>0</v>
      </c>
    </row>
    <row r="19" spans="2:173" ht="29" x14ac:dyDescent="0.35">
      <c r="B19" s="11">
        <v>3</v>
      </c>
      <c r="C19" s="11">
        <v>12</v>
      </c>
      <c r="D19" s="12" t="s">
        <v>181</v>
      </c>
      <c r="E19" s="3" t="s">
        <v>185</v>
      </c>
      <c r="F19" s="6">
        <f t="shared" si="0"/>
        <v>95.63157261573275</v>
      </c>
      <c r="G19" s="4">
        <v>0</v>
      </c>
      <c r="H19" s="4">
        <v>0.83790072033134233</v>
      </c>
      <c r="I19" s="4">
        <v>1.5869819201181812</v>
      </c>
      <c r="J19" s="4">
        <v>0</v>
      </c>
      <c r="K19" s="4">
        <v>0</v>
      </c>
      <c r="L19" s="4">
        <v>0.61630431981843758</v>
      </c>
      <c r="M19" s="4">
        <v>4.8941416136568036E-2</v>
      </c>
      <c r="N19" s="4">
        <v>0.24424699467606314</v>
      </c>
      <c r="O19" s="4">
        <v>0</v>
      </c>
      <c r="P19" s="4">
        <v>0</v>
      </c>
      <c r="Q19" s="4">
        <v>1.9779131039126603</v>
      </c>
      <c r="R19" s="4">
        <v>1.3663523955901424</v>
      </c>
      <c r="S19" s="4">
        <v>1.2812996775445347</v>
      </c>
      <c r="T19" s="4">
        <v>0.93397644386071232</v>
      </c>
      <c r="U19" s="4">
        <v>0.38628278681246048</v>
      </c>
      <c r="V19" s="4">
        <v>0</v>
      </c>
      <c r="W19" s="4">
        <v>3.9605275922249071E-2</v>
      </c>
      <c r="X19" s="4">
        <v>0</v>
      </c>
      <c r="Y19" s="4">
        <v>1.5986995498742558</v>
      </c>
      <c r="Z19" s="4">
        <v>0.19269701809019729</v>
      </c>
      <c r="AA19" s="4">
        <v>0.81764497310044426</v>
      </c>
      <c r="AB19" s="4">
        <v>0</v>
      </c>
      <c r="AC19" s="4">
        <v>0.98458952736678917</v>
      </c>
      <c r="AD19" s="4">
        <v>0.47907199774105835</v>
      </c>
      <c r="AE19" s="4">
        <v>0</v>
      </c>
      <c r="AF19" s="4">
        <v>2.8060099973101216</v>
      </c>
      <c r="AG19" s="4">
        <v>0.13599854453005122</v>
      </c>
      <c r="AH19" s="4">
        <v>0</v>
      </c>
      <c r="AI19" s="4">
        <v>1.275350269520412</v>
      </c>
      <c r="AJ19" s="4">
        <v>0</v>
      </c>
      <c r="AK19" s="4">
        <v>4.9568433180774231E-2</v>
      </c>
      <c r="AL19" s="4">
        <v>0</v>
      </c>
      <c r="AM19" s="4">
        <v>0</v>
      </c>
      <c r="AN19" s="4">
        <v>0</v>
      </c>
      <c r="AO19" s="4">
        <v>0.15534185184100086</v>
      </c>
      <c r="AP19" s="4">
        <v>0</v>
      </c>
      <c r="AQ19" s="4">
        <v>0.31812359530972739</v>
      </c>
      <c r="AR19" s="4">
        <v>3.6698318993012978E-2</v>
      </c>
      <c r="AS19" s="4">
        <v>2.8604043232229562E-3</v>
      </c>
      <c r="AT19" s="4">
        <v>5.8172167414630636</v>
      </c>
      <c r="AU19" s="4">
        <v>0</v>
      </c>
      <c r="AV19" s="4">
        <v>0</v>
      </c>
      <c r="AW19" s="4">
        <v>0</v>
      </c>
      <c r="AX19" s="4">
        <v>0.18256687407683714</v>
      </c>
      <c r="AY19" s="4">
        <v>1.0597874556053817</v>
      </c>
      <c r="AZ19" s="4">
        <v>0</v>
      </c>
      <c r="BA19" s="4">
        <v>0</v>
      </c>
      <c r="BB19" s="4">
        <v>1.1507923484633029</v>
      </c>
      <c r="BC19" s="4">
        <v>0</v>
      </c>
      <c r="BD19" s="4">
        <v>1.3162848180960103</v>
      </c>
      <c r="BE19" s="4">
        <v>5.4345621378668225E-2</v>
      </c>
      <c r="BF19" s="4">
        <v>0</v>
      </c>
      <c r="BG19" s="4">
        <v>0</v>
      </c>
      <c r="BH19" s="4">
        <v>2.7839799949654016</v>
      </c>
      <c r="BI19" s="4">
        <v>0</v>
      </c>
      <c r="BJ19" s="4">
        <v>0</v>
      </c>
      <c r="BK19" s="4">
        <v>0</v>
      </c>
      <c r="BL19" s="4">
        <v>0</v>
      </c>
      <c r="BM19" s="4">
        <v>0</v>
      </c>
      <c r="BN19" s="4">
        <v>0.55570298875798851</v>
      </c>
      <c r="BO19" s="4">
        <v>1.8569653735469529</v>
      </c>
      <c r="BP19" s="4">
        <v>1.0394679031707261</v>
      </c>
      <c r="BQ19" s="4">
        <v>2.1090642983991619</v>
      </c>
      <c r="BR19" s="4">
        <v>2.249255255025421</v>
      </c>
      <c r="BS19" s="4">
        <v>1.7097144886840034</v>
      </c>
      <c r="BT19" s="4">
        <v>0</v>
      </c>
      <c r="BU19" s="4">
        <v>0</v>
      </c>
      <c r="BV19" s="4">
        <v>0</v>
      </c>
      <c r="BW19" s="4">
        <v>0</v>
      </c>
      <c r="BX19" s="4">
        <v>0</v>
      </c>
      <c r="BY19" s="4">
        <v>0</v>
      </c>
      <c r="BZ19" s="4">
        <v>0</v>
      </c>
      <c r="CA19" s="4">
        <v>0</v>
      </c>
      <c r="CB19" s="4">
        <v>0</v>
      </c>
      <c r="CC19" s="4">
        <v>0</v>
      </c>
      <c r="CD19" s="4">
        <v>0</v>
      </c>
      <c r="CE19" s="4">
        <v>0</v>
      </c>
      <c r="CF19" s="4">
        <v>0</v>
      </c>
      <c r="CG19" s="4">
        <v>0</v>
      </c>
      <c r="CH19" s="4">
        <v>0</v>
      </c>
      <c r="CI19" s="4">
        <v>0</v>
      </c>
      <c r="CJ19" s="4">
        <v>0</v>
      </c>
      <c r="CK19" s="4">
        <v>0</v>
      </c>
      <c r="CL19" s="4">
        <v>0</v>
      </c>
      <c r="CM19" s="4">
        <v>0</v>
      </c>
      <c r="CN19" s="4">
        <v>0</v>
      </c>
      <c r="CO19" s="4">
        <v>0</v>
      </c>
      <c r="CP19" s="4">
        <v>0</v>
      </c>
      <c r="CQ19" s="4">
        <v>0</v>
      </c>
      <c r="CR19" s="4">
        <v>0</v>
      </c>
      <c r="CS19" s="4">
        <v>0</v>
      </c>
      <c r="CT19" s="4">
        <v>0</v>
      </c>
      <c r="CU19" s="4">
        <v>0</v>
      </c>
      <c r="CV19" s="4">
        <v>0</v>
      </c>
      <c r="CW19" s="4">
        <v>0</v>
      </c>
      <c r="CX19" s="4">
        <v>3.3885103724874757E-2</v>
      </c>
      <c r="CY19" s="4">
        <v>0</v>
      </c>
      <c r="CZ19" s="4">
        <v>0</v>
      </c>
      <c r="DA19" s="4">
        <v>0</v>
      </c>
      <c r="DB19" s="4">
        <v>0</v>
      </c>
      <c r="DC19" s="4">
        <v>0</v>
      </c>
      <c r="DD19" s="4">
        <v>0</v>
      </c>
      <c r="DE19" s="4">
        <v>0</v>
      </c>
      <c r="DF19" s="4">
        <v>0</v>
      </c>
      <c r="DG19" s="4">
        <v>1.664769558908491E-2</v>
      </c>
      <c r="DH19" s="4">
        <v>0.46907263715669423</v>
      </c>
      <c r="DI19" s="4">
        <v>3.0324926226892509E-5</v>
      </c>
      <c r="DJ19" s="4">
        <v>0</v>
      </c>
      <c r="DK19" s="4">
        <v>0</v>
      </c>
      <c r="DL19" s="4">
        <v>0</v>
      </c>
      <c r="DM19" s="4">
        <v>0</v>
      </c>
      <c r="DN19" s="4">
        <v>0</v>
      </c>
      <c r="DO19" s="4">
        <v>2.2850045970266283E-2</v>
      </c>
      <c r="DP19" s="4">
        <v>0.39995566606478811</v>
      </c>
      <c r="DQ19" s="4">
        <v>0</v>
      </c>
      <c r="DR19" s="4">
        <v>0</v>
      </c>
      <c r="DS19" s="4">
        <v>0</v>
      </c>
      <c r="DT19" s="4">
        <v>0</v>
      </c>
      <c r="DU19" s="4">
        <v>0.1536621004722542</v>
      </c>
      <c r="DV19" s="4">
        <v>0.46191014850820356</v>
      </c>
      <c r="DW19" s="4">
        <v>0</v>
      </c>
      <c r="DX19" s="4">
        <v>0</v>
      </c>
      <c r="DY19" s="4">
        <v>0</v>
      </c>
      <c r="DZ19" s="4">
        <v>0</v>
      </c>
      <c r="EA19" s="4">
        <v>0</v>
      </c>
      <c r="EB19" s="4">
        <v>0</v>
      </c>
      <c r="EC19" s="4">
        <v>0</v>
      </c>
      <c r="ED19" s="4">
        <v>0</v>
      </c>
      <c r="EE19" s="4">
        <v>0.15398481072681552</v>
      </c>
      <c r="EF19" s="4">
        <v>0</v>
      </c>
      <c r="EG19" s="4">
        <v>0</v>
      </c>
      <c r="EH19" s="4">
        <v>36.314327960348173</v>
      </c>
      <c r="EI19" s="4">
        <v>0</v>
      </c>
      <c r="EJ19" s="4">
        <v>0</v>
      </c>
      <c r="EK19" s="4">
        <v>0</v>
      </c>
      <c r="EL19" s="4">
        <v>0</v>
      </c>
      <c r="EM19" s="4">
        <v>0</v>
      </c>
      <c r="EN19" s="4">
        <v>0</v>
      </c>
      <c r="EO19" s="4">
        <v>1.2910007197417672</v>
      </c>
      <c r="EP19" s="4">
        <v>7.6274908926073373E-2</v>
      </c>
      <c r="EQ19" s="4">
        <v>0</v>
      </c>
      <c r="ER19" s="4">
        <v>15.707839491757539</v>
      </c>
      <c r="ES19" s="4">
        <v>0</v>
      </c>
      <c r="ET19" s="4">
        <v>1.9496111766972972</v>
      </c>
      <c r="EU19" s="4">
        <v>1.4193494043030142</v>
      </c>
      <c r="EV19" s="4">
        <v>0</v>
      </c>
      <c r="EW19" s="4">
        <v>0</v>
      </c>
      <c r="EX19" s="4">
        <v>0.21489335474426249</v>
      </c>
      <c r="EY19" s="4">
        <v>0</v>
      </c>
      <c r="EZ19" s="4">
        <v>4.9615204756633035E-3</v>
      </c>
      <c r="FA19" s="4">
        <v>0.12461294402560234</v>
      </c>
      <c r="FB19" s="4">
        <v>2.5946449936406952E-2</v>
      </c>
      <c r="FC19" s="4">
        <v>7.3096179577645691E-3</v>
      </c>
      <c r="FD19" s="4">
        <v>0</v>
      </c>
      <c r="FE19" s="4">
        <v>0</v>
      </c>
      <c r="FF19" s="4">
        <v>0</v>
      </c>
      <c r="FG19" s="4">
        <v>0</v>
      </c>
      <c r="FH19" s="4">
        <v>7.6471615139787714E-3</v>
      </c>
      <c r="FI19" s="4">
        <v>0</v>
      </c>
      <c r="FJ19" s="4">
        <v>0</v>
      </c>
      <c r="FK19" s="4">
        <v>0</v>
      </c>
      <c r="FL19" s="4">
        <v>0</v>
      </c>
      <c r="FM19" s="4">
        <v>0</v>
      </c>
      <c r="FN19" s="4">
        <v>0</v>
      </c>
      <c r="FO19" s="4">
        <v>0</v>
      </c>
      <c r="FP19" s="4">
        <v>0</v>
      </c>
      <c r="FQ19" s="4">
        <v>0</v>
      </c>
    </row>
    <row r="20" spans="2:173" x14ac:dyDescent="0.35">
      <c r="B20" s="11">
        <v>3</v>
      </c>
      <c r="C20" s="11">
        <v>13</v>
      </c>
      <c r="D20" s="12" t="s">
        <v>181</v>
      </c>
      <c r="E20" s="3" t="s">
        <v>186</v>
      </c>
      <c r="F20" s="6">
        <f t="shared" si="0"/>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c r="BO20" s="4">
        <v>0</v>
      </c>
      <c r="BP20" s="4">
        <v>0</v>
      </c>
      <c r="BQ20" s="4">
        <v>0</v>
      </c>
      <c r="BR20" s="4">
        <v>0</v>
      </c>
      <c r="BS20" s="4">
        <v>0</v>
      </c>
      <c r="BT20" s="4">
        <v>0</v>
      </c>
      <c r="BU20" s="4">
        <v>0</v>
      </c>
      <c r="BV20" s="4">
        <v>0</v>
      </c>
      <c r="BW20" s="4">
        <v>0</v>
      </c>
      <c r="BX20" s="4">
        <v>0</v>
      </c>
      <c r="BY20" s="4">
        <v>0</v>
      </c>
      <c r="BZ20" s="4">
        <v>0</v>
      </c>
      <c r="CA20" s="4">
        <v>0</v>
      </c>
      <c r="CB20" s="4">
        <v>0</v>
      </c>
      <c r="CC20" s="4">
        <v>0</v>
      </c>
      <c r="CD20" s="4">
        <v>0</v>
      </c>
      <c r="CE20" s="4">
        <v>0</v>
      </c>
      <c r="CF20" s="4">
        <v>0</v>
      </c>
      <c r="CG20" s="4">
        <v>0</v>
      </c>
      <c r="CH20" s="4">
        <v>0</v>
      </c>
      <c r="CI20" s="4">
        <v>0</v>
      </c>
      <c r="CJ20" s="4">
        <v>0</v>
      </c>
      <c r="CK20" s="4">
        <v>0</v>
      </c>
      <c r="CL20" s="4">
        <v>0</v>
      </c>
      <c r="CM20" s="4">
        <v>0</v>
      </c>
      <c r="CN20" s="4">
        <v>0</v>
      </c>
      <c r="CO20" s="4">
        <v>0</v>
      </c>
      <c r="CP20" s="4">
        <v>0</v>
      </c>
      <c r="CQ20" s="4">
        <v>0</v>
      </c>
      <c r="CR20" s="4">
        <v>0</v>
      </c>
      <c r="CS20" s="4">
        <v>0</v>
      </c>
      <c r="CT20" s="4">
        <v>0</v>
      </c>
      <c r="CU20" s="4">
        <v>0</v>
      </c>
      <c r="CV20" s="4">
        <v>0</v>
      </c>
      <c r="CW20" s="4">
        <v>0</v>
      </c>
      <c r="CX20" s="4">
        <v>0</v>
      </c>
      <c r="CY20" s="4">
        <v>0</v>
      </c>
      <c r="CZ20" s="4">
        <v>0</v>
      </c>
      <c r="DA20" s="4">
        <v>0</v>
      </c>
      <c r="DB20" s="4">
        <v>0</v>
      </c>
      <c r="DC20" s="4">
        <v>0</v>
      </c>
      <c r="DD20" s="4">
        <v>0</v>
      </c>
      <c r="DE20" s="4">
        <v>0</v>
      </c>
      <c r="DF20" s="4">
        <v>0</v>
      </c>
      <c r="DG20" s="4">
        <v>0</v>
      </c>
      <c r="DH20" s="4">
        <v>0</v>
      </c>
      <c r="DI20" s="4">
        <v>0</v>
      </c>
      <c r="DJ20" s="4">
        <v>0</v>
      </c>
      <c r="DK20" s="4">
        <v>0</v>
      </c>
      <c r="DL20" s="4">
        <v>0</v>
      </c>
      <c r="DM20" s="4">
        <v>0</v>
      </c>
      <c r="DN20" s="4">
        <v>0</v>
      </c>
      <c r="DO20" s="4">
        <v>0</v>
      </c>
      <c r="DP20" s="4">
        <v>0</v>
      </c>
      <c r="DQ20" s="4">
        <v>0</v>
      </c>
      <c r="DR20" s="4">
        <v>0</v>
      </c>
      <c r="DS20" s="4">
        <v>0</v>
      </c>
      <c r="DT20" s="4">
        <v>0</v>
      </c>
      <c r="DU20" s="4">
        <v>0</v>
      </c>
      <c r="DV20" s="4">
        <v>0</v>
      </c>
      <c r="DW20" s="4">
        <v>0</v>
      </c>
      <c r="DX20" s="4">
        <v>0</v>
      </c>
      <c r="DY20" s="4">
        <v>0</v>
      </c>
      <c r="DZ20" s="4">
        <v>0</v>
      </c>
      <c r="EA20" s="4">
        <v>0</v>
      </c>
      <c r="EB20" s="4">
        <v>0</v>
      </c>
      <c r="EC20" s="4">
        <v>0</v>
      </c>
      <c r="ED20" s="4">
        <v>0</v>
      </c>
      <c r="EE20" s="4">
        <v>0</v>
      </c>
      <c r="EF20" s="4">
        <v>0</v>
      </c>
      <c r="EG20" s="4">
        <v>0</v>
      </c>
      <c r="EH20" s="4">
        <v>0</v>
      </c>
      <c r="EI20" s="4">
        <v>0</v>
      </c>
      <c r="EJ20" s="4">
        <v>0</v>
      </c>
      <c r="EK20" s="4">
        <v>0</v>
      </c>
      <c r="EL20" s="4">
        <v>0</v>
      </c>
      <c r="EM20" s="4">
        <v>0</v>
      </c>
      <c r="EN20" s="4">
        <v>0</v>
      </c>
      <c r="EO20" s="4">
        <v>0</v>
      </c>
      <c r="EP20" s="4">
        <v>0</v>
      </c>
      <c r="EQ20" s="4">
        <v>0</v>
      </c>
      <c r="ER20" s="4">
        <v>0</v>
      </c>
      <c r="ES20" s="4">
        <v>0</v>
      </c>
      <c r="ET20" s="4">
        <v>0</v>
      </c>
      <c r="EU20" s="4">
        <v>0</v>
      </c>
      <c r="EV20" s="4">
        <v>0</v>
      </c>
      <c r="EW20" s="4">
        <v>0</v>
      </c>
      <c r="EX20" s="4">
        <v>0</v>
      </c>
      <c r="EY20" s="4">
        <v>0</v>
      </c>
      <c r="EZ20" s="4">
        <v>0</v>
      </c>
      <c r="FA20" s="4">
        <v>0</v>
      </c>
      <c r="FB20" s="4">
        <v>0</v>
      </c>
      <c r="FC20" s="4">
        <v>0</v>
      </c>
      <c r="FD20" s="4">
        <v>0</v>
      </c>
      <c r="FE20" s="4">
        <v>0</v>
      </c>
      <c r="FF20" s="4">
        <v>0</v>
      </c>
      <c r="FG20" s="4">
        <v>0</v>
      </c>
      <c r="FH20" s="4">
        <v>0</v>
      </c>
      <c r="FI20" s="4">
        <v>0</v>
      </c>
      <c r="FJ20" s="4">
        <v>0</v>
      </c>
      <c r="FK20" s="4">
        <v>0</v>
      </c>
      <c r="FL20" s="4">
        <v>0</v>
      </c>
      <c r="FM20" s="4">
        <v>0</v>
      </c>
      <c r="FN20" s="4">
        <v>0</v>
      </c>
      <c r="FO20" s="4">
        <v>0</v>
      </c>
      <c r="FP20" s="4">
        <v>0</v>
      </c>
      <c r="FQ20" s="4">
        <v>0</v>
      </c>
    </row>
    <row r="21" spans="2:173" x14ac:dyDescent="0.35">
      <c r="B21" s="11">
        <v>3</v>
      </c>
      <c r="C21" s="11">
        <v>14</v>
      </c>
      <c r="D21" s="12" t="s">
        <v>181</v>
      </c>
      <c r="E21" s="3" t="s">
        <v>187</v>
      </c>
      <c r="F21" s="6">
        <f t="shared" si="0"/>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4">
        <v>0</v>
      </c>
      <c r="BF21" s="4">
        <v>0</v>
      </c>
      <c r="BG21" s="4">
        <v>0</v>
      </c>
      <c r="BH21" s="4">
        <v>0</v>
      </c>
      <c r="BI21" s="4">
        <v>0</v>
      </c>
      <c r="BJ21" s="4">
        <v>0</v>
      </c>
      <c r="BK21" s="4">
        <v>0</v>
      </c>
      <c r="BL21" s="4">
        <v>0</v>
      </c>
      <c r="BM21" s="4">
        <v>0</v>
      </c>
      <c r="BN21" s="4">
        <v>0</v>
      </c>
      <c r="BO21" s="4">
        <v>0</v>
      </c>
      <c r="BP21" s="4">
        <v>0</v>
      </c>
      <c r="BQ21" s="4">
        <v>0</v>
      </c>
      <c r="BR21" s="4">
        <v>0</v>
      </c>
      <c r="BS21" s="4">
        <v>0</v>
      </c>
      <c r="BT21" s="4">
        <v>0</v>
      </c>
      <c r="BU21" s="4">
        <v>0</v>
      </c>
      <c r="BV21" s="4">
        <v>0</v>
      </c>
      <c r="BW21" s="4">
        <v>0</v>
      </c>
      <c r="BX21" s="4">
        <v>0</v>
      </c>
      <c r="BY21" s="4">
        <v>0</v>
      </c>
      <c r="BZ21" s="4">
        <v>0</v>
      </c>
      <c r="CA21" s="4">
        <v>0</v>
      </c>
      <c r="CB21" s="4">
        <v>0</v>
      </c>
      <c r="CC21" s="4">
        <v>0</v>
      </c>
      <c r="CD21" s="4">
        <v>0</v>
      </c>
      <c r="CE21" s="4">
        <v>0</v>
      </c>
      <c r="CF21" s="4">
        <v>0</v>
      </c>
      <c r="CG21" s="4">
        <v>0</v>
      </c>
      <c r="CH21" s="4">
        <v>0</v>
      </c>
      <c r="CI21" s="4">
        <v>0</v>
      </c>
      <c r="CJ21" s="4">
        <v>0</v>
      </c>
      <c r="CK21" s="4">
        <v>0</v>
      </c>
      <c r="CL21" s="4">
        <v>0</v>
      </c>
      <c r="CM21" s="4">
        <v>0</v>
      </c>
      <c r="CN21" s="4">
        <v>0</v>
      </c>
      <c r="CO21" s="4">
        <v>0</v>
      </c>
      <c r="CP21" s="4">
        <v>0</v>
      </c>
      <c r="CQ21" s="4">
        <v>0</v>
      </c>
      <c r="CR21" s="4">
        <v>0</v>
      </c>
      <c r="CS21" s="4">
        <v>0</v>
      </c>
      <c r="CT21" s="4">
        <v>0</v>
      </c>
      <c r="CU21" s="4">
        <v>0</v>
      </c>
      <c r="CV21" s="4">
        <v>0</v>
      </c>
      <c r="CW21" s="4">
        <v>0</v>
      </c>
      <c r="CX21" s="4">
        <v>0</v>
      </c>
      <c r="CY21" s="4">
        <v>0</v>
      </c>
      <c r="CZ21" s="4">
        <v>0</v>
      </c>
      <c r="DA21" s="4">
        <v>0</v>
      </c>
      <c r="DB21" s="4">
        <v>0</v>
      </c>
      <c r="DC21" s="4">
        <v>0</v>
      </c>
      <c r="DD21" s="4">
        <v>0</v>
      </c>
      <c r="DE21" s="4">
        <v>0</v>
      </c>
      <c r="DF21" s="4">
        <v>0</v>
      </c>
      <c r="DG21" s="4">
        <v>0</v>
      </c>
      <c r="DH21" s="4">
        <v>0</v>
      </c>
      <c r="DI21" s="4">
        <v>0</v>
      </c>
      <c r="DJ21" s="4">
        <v>0</v>
      </c>
      <c r="DK21" s="4">
        <v>0</v>
      </c>
      <c r="DL21" s="4">
        <v>0</v>
      </c>
      <c r="DM21" s="4">
        <v>0</v>
      </c>
      <c r="DN21" s="4">
        <v>0</v>
      </c>
      <c r="DO21" s="4">
        <v>0</v>
      </c>
      <c r="DP21" s="4">
        <v>0</v>
      </c>
      <c r="DQ21" s="4">
        <v>0</v>
      </c>
      <c r="DR21" s="4">
        <v>0</v>
      </c>
      <c r="DS21" s="4">
        <v>0</v>
      </c>
      <c r="DT21" s="4">
        <v>0</v>
      </c>
      <c r="DU21" s="4">
        <v>0</v>
      </c>
      <c r="DV21" s="4">
        <v>0</v>
      </c>
      <c r="DW21" s="4">
        <v>0</v>
      </c>
      <c r="DX21" s="4">
        <v>0</v>
      </c>
      <c r="DY21" s="4">
        <v>0</v>
      </c>
      <c r="DZ21" s="4">
        <v>0</v>
      </c>
      <c r="EA21" s="4">
        <v>0</v>
      </c>
      <c r="EB21" s="4">
        <v>0</v>
      </c>
      <c r="EC21" s="4">
        <v>0</v>
      </c>
      <c r="ED21" s="4">
        <v>0</v>
      </c>
      <c r="EE21" s="4">
        <v>0</v>
      </c>
      <c r="EF21" s="4">
        <v>0</v>
      </c>
      <c r="EG21" s="4">
        <v>0</v>
      </c>
      <c r="EH21" s="4">
        <v>0</v>
      </c>
      <c r="EI21" s="4">
        <v>0</v>
      </c>
      <c r="EJ21" s="4">
        <v>0</v>
      </c>
      <c r="EK21" s="4">
        <v>0</v>
      </c>
      <c r="EL21" s="4">
        <v>0</v>
      </c>
      <c r="EM21" s="4">
        <v>0</v>
      </c>
      <c r="EN21" s="4">
        <v>0</v>
      </c>
      <c r="EO21" s="4">
        <v>0</v>
      </c>
      <c r="EP21" s="4">
        <v>0</v>
      </c>
      <c r="EQ21" s="4">
        <v>0</v>
      </c>
      <c r="ER21" s="4">
        <v>0</v>
      </c>
      <c r="ES21" s="4">
        <v>0</v>
      </c>
      <c r="ET21" s="4">
        <v>0</v>
      </c>
      <c r="EU21" s="4">
        <v>0</v>
      </c>
      <c r="EV21" s="4">
        <v>0</v>
      </c>
      <c r="EW21" s="4">
        <v>0</v>
      </c>
      <c r="EX21" s="4">
        <v>0</v>
      </c>
      <c r="EY21" s="4">
        <v>0</v>
      </c>
      <c r="EZ21" s="4">
        <v>0</v>
      </c>
      <c r="FA21" s="4">
        <v>0</v>
      </c>
      <c r="FB21" s="4">
        <v>0</v>
      </c>
      <c r="FC21" s="4">
        <v>0</v>
      </c>
      <c r="FD21" s="4">
        <v>0</v>
      </c>
      <c r="FE21" s="4">
        <v>0</v>
      </c>
      <c r="FF21" s="4">
        <v>0</v>
      </c>
      <c r="FG21" s="4">
        <v>0</v>
      </c>
      <c r="FH21" s="4">
        <v>0</v>
      </c>
      <c r="FI21" s="4">
        <v>0</v>
      </c>
      <c r="FJ21" s="4">
        <v>0</v>
      </c>
      <c r="FK21" s="4">
        <v>0</v>
      </c>
      <c r="FL21" s="4">
        <v>0</v>
      </c>
      <c r="FM21" s="4">
        <v>0</v>
      </c>
      <c r="FN21" s="4">
        <v>0</v>
      </c>
      <c r="FO21" s="4">
        <v>0</v>
      </c>
      <c r="FP21" s="4">
        <v>0</v>
      </c>
      <c r="FQ21" s="4">
        <v>0</v>
      </c>
    </row>
    <row r="22" spans="2:173" x14ac:dyDescent="0.35">
      <c r="B22" s="12">
        <v>3</v>
      </c>
      <c r="C22" s="12">
        <v>15</v>
      </c>
      <c r="D22" s="12" t="s">
        <v>181</v>
      </c>
      <c r="E22" s="13" t="s">
        <v>188</v>
      </c>
      <c r="F22" s="6">
        <f t="shared" si="0"/>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4">
        <v>0</v>
      </c>
      <c r="BF22" s="4">
        <v>0</v>
      </c>
      <c r="BG22" s="4">
        <v>0</v>
      </c>
      <c r="BH22" s="4">
        <v>0</v>
      </c>
      <c r="BI22" s="4">
        <v>0</v>
      </c>
      <c r="BJ22" s="4">
        <v>0</v>
      </c>
      <c r="BK22" s="4">
        <v>0</v>
      </c>
      <c r="BL22" s="4">
        <v>0</v>
      </c>
      <c r="BM22" s="4">
        <v>0</v>
      </c>
      <c r="BN22" s="4">
        <v>0</v>
      </c>
      <c r="BO22" s="4">
        <v>0</v>
      </c>
      <c r="BP22" s="4">
        <v>0</v>
      </c>
      <c r="BQ22" s="4">
        <v>0</v>
      </c>
      <c r="BR22" s="4">
        <v>0</v>
      </c>
      <c r="BS22" s="4">
        <v>0</v>
      </c>
      <c r="BT22" s="4">
        <v>0</v>
      </c>
      <c r="BU22" s="4">
        <v>0</v>
      </c>
      <c r="BV22" s="4">
        <v>0</v>
      </c>
      <c r="BW22" s="4">
        <v>0</v>
      </c>
      <c r="BX22" s="4">
        <v>0</v>
      </c>
      <c r="BY22" s="4">
        <v>0</v>
      </c>
      <c r="BZ22" s="4">
        <v>0</v>
      </c>
      <c r="CA22" s="4">
        <v>0</v>
      </c>
      <c r="CB22" s="4">
        <v>0</v>
      </c>
      <c r="CC22" s="4">
        <v>0</v>
      </c>
      <c r="CD22" s="4">
        <v>0</v>
      </c>
      <c r="CE22" s="4">
        <v>0</v>
      </c>
      <c r="CF22" s="4">
        <v>0</v>
      </c>
      <c r="CG22" s="4">
        <v>0</v>
      </c>
      <c r="CH22" s="4">
        <v>0</v>
      </c>
      <c r="CI22" s="4">
        <v>0</v>
      </c>
      <c r="CJ22" s="4">
        <v>0</v>
      </c>
      <c r="CK22" s="4">
        <v>0</v>
      </c>
      <c r="CL22" s="4">
        <v>0</v>
      </c>
      <c r="CM22" s="4">
        <v>0</v>
      </c>
      <c r="CN22" s="4">
        <v>0</v>
      </c>
      <c r="CO22" s="4">
        <v>0</v>
      </c>
      <c r="CP22" s="4">
        <v>0</v>
      </c>
      <c r="CQ22" s="4">
        <v>0</v>
      </c>
      <c r="CR22" s="4">
        <v>0</v>
      </c>
      <c r="CS22" s="4">
        <v>0</v>
      </c>
      <c r="CT22" s="4">
        <v>0</v>
      </c>
      <c r="CU22" s="4">
        <v>0</v>
      </c>
      <c r="CV22" s="4">
        <v>0</v>
      </c>
      <c r="CW22" s="4">
        <v>0</v>
      </c>
      <c r="CX22" s="4">
        <v>0</v>
      </c>
      <c r="CY22" s="4">
        <v>0</v>
      </c>
      <c r="CZ22" s="4">
        <v>0</v>
      </c>
      <c r="DA22" s="4">
        <v>0</v>
      </c>
      <c r="DB22" s="4">
        <v>0</v>
      </c>
      <c r="DC22" s="4">
        <v>0</v>
      </c>
      <c r="DD22" s="4">
        <v>0</v>
      </c>
      <c r="DE22" s="4">
        <v>0</v>
      </c>
      <c r="DF22" s="4">
        <v>0</v>
      </c>
      <c r="DG22" s="4">
        <v>0</v>
      </c>
      <c r="DH22" s="4">
        <v>0</v>
      </c>
      <c r="DI22" s="4">
        <v>0</v>
      </c>
      <c r="DJ22" s="4">
        <v>0</v>
      </c>
      <c r="DK22" s="4">
        <v>0</v>
      </c>
      <c r="DL22" s="4">
        <v>0</v>
      </c>
      <c r="DM22" s="4">
        <v>0</v>
      </c>
      <c r="DN22" s="4">
        <v>0</v>
      </c>
      <c r="DO22" s="4">
        <v>0</v>
      </c>
      <c r="DP22" s="4">
        <v>0</v>
      </c>
      <c r="DQ22" s="4">
        <v>0</v>
      </c>
      <c r="DR22" s="4">
        <v>0</v>
      </c>
      <c r="DS22" s="4">
        <v>0</v>
      </c>
      <c r="DT22" s="4">
        <v>0</v>
      </c>
      <c r="DU22" s="4">
        <v>0</v>
      </c>
      <c r="DV22" s="4">
        <v>0</v>
      </c>
      <c r="DW22" s="4">
        <v>0</v>
      </c>
      <c r="DX22" s="4">
        <v>0</v>
      </c>
      <c r="DY22" s="4">
        <v>0</v>
      </c>
      <c r="DZ22" s="4">
        <v>0</v>
      </c>
      <c r="EA22" s="4">
        <v>0</v>
      </c>
      <c r="EB22" s="4">
        <v>0</v>
      </c>
      <c r="EC22" s="4">
        <v>0</v>
      </c>
      <c r="ED22" s="4">
        <v>0</v>
      </c>
      <c r="EE22" s="4">
        <v>0</v>
      </c>
      <c r="EF22" s="4">
        <v>0</v>
      </c>
      <c r="EG22" s="4">
        <v>0</v>
      </c>
      <c r="EH22" s="4">
        <v>0</v>
      </c>
      <c r="EI22" s="4">
        <v>0</v>
      </c>
      <c r="EJ22" s="4">
        <v>0</v>
      </c>
      <c r="EK22" s="4">
        <v>0</v>
      </c>
      <c r="EL22" s="4">
        <v>0</v>
      </c>
      <c r="EM22" s="4">
        <v>0</v>
      </c>
      <c r="EN22" s="4">
        <v>0</v>
      </c>
      <c r="EO22" s="4">
        <v>0</v>
      </c>
      <c r="EP22" s="4">
        <v>0</v>
      </c>
      <c r="EQ22" s="4">
        <v>0</v>
      </c>
      <c r="ER22" s="4">
        <v>0</v>
      </c>
      <c r="ES22" s="4">
        <v>0</v>
      </c>
      <c r="ET22" s="4">
        <v>0</v>
      </c>
      <c r="EU22" s="4">
        <v>0</v>
      </c>
      <c r="EV22" s="4">
        <v>0</v>
      </c>
      <c r="EW22" s="4">
        <v>0</v>
      </c>
      <c r="EX22" s="4">
        <v>0</v>
      </c>
      <c r="EY22" s="4">
        <v>0</v>
      </c>
      <c r="EZ22" s="4">
        <v>0</v>
      </c>
      <c r="FA22" s="4">
        <v>0</v>
      </c>
      <c r="FB22" s="4">
        <v>0</v>
      </c>
      <c r="FC22" s="4">
        <v>0</v>
      </c>
      <c r="FD22" s="4">
        <v>0</v>
      </c>
      <c r="FE22" s="4">
        <v>0</v>
      </c>
      <c r="FF22" s="4">
        <v>0</v>
      </c>
      <c r="FG22" s="4">
        <v>0</v>
      </c>
      <c r="FH22" s="4">
        <v>0</v>
      </c>
      <c r="FI22" s="4">
        <v>0</v>
      </c>
      <c r="FJ22" s="4">
        <v>0</v>
      </c>
      <c r="FK22" s="4">
        <v>0</v>
      </c>
      <c r="FL22" s="4">
        <v>0</v>
      </c>
      <c r="FM22" s="4">
        <v>0</v>
      </c>
      <c r="FN22" s="4">
        <v>0</v>
      </c>
      <c r="FO22" s="4">
        <v>0</v>
      </c>
      <c r="FP22" s="4">
        <v>0</v>
      </c>
      <c r="FQ22" s="4">
        <v>0</v>
      </c>
    </row>
    <row r="23" spans="2:173" x14ac:dyDescent="0.35">
      <c r="B23" s="12"/>
      <c r="C23" s="12"/>
      <c r="D23" s="12"/>
      <c r="E23" s="13" t="s">
        <v>192</v>
      </c>
      <c r="F23" s="6">
        <f t="shared" si="0"/>
        <v>229684.69306296375</v>
      </c>
      <c r="G23" s="4">
        <f>SUM(G7:G22,G5)</f>
        <v>3.2269330629423183</v>
      </c>
      <c r="H23" s="4">
        <f t="shared" ref="H23:BS23" si="1">SUM(H7:H22,H5)</f>
        <v>3061.2889237916193</v>
      </c>
      <c r="I23" s="4">
        <f t="shared" si="1"/>
        <v>9661.6645226120727</v>
      </c>
      <c r="J23" s="4">
        <f t="shared" si="1"/>
        <v>1181.337626031604</v>
      </c>
      <c r="K23" s="4">
        <f t="shared" si="1"/>
        <v>93.400093608585479</v>
      </c>
      <c r="L23" s="4">
        <f t="shared" si="1"/>
        <v>2533.9493252558896</v>
      </c>
      <c r="M23" s="4">
        <f t="shared" si="1"/>
        <v>72.324608149351434</v>
      </c>
      <c r="N23" s="4">
        <f t="shared" si="1"/>
        <v>1180.4128905673585</v>
      </c>
      <c r="O23" s="4">
        <f t="shared" si="1"/>
        <v>0</v>
      </c>
      <c r="P23" s="4">
        <f t="shared" si="1"/>
        <v>218.6908440494077</v>
      </c>
      <c r="Q23" s="4">
        <f t="shared" si="1"/>
        <v>10100.195024584933</v>
      </c>
      <c r="R23" s="4">
        <f t="shared" si="1"/>
        <v>6999.4053596353497</v>
      </c>
      <c r="S23" s="4">
        <f t="shared" si="1"/>
        <v>9193.9005242369403</v>
      </c>
      <c r="T23" s="4">
        <f t="shared" si="1"/>
        <v>1785.4991626453057</v>
      </c>
      <c r="U23" s="4">
        <f t="shared" si="1"/>
        <v>1758.2954080038473</v>
      </c>
      <c r="V23" s="4">
        <f t="shared" si="1"/>
        <v>3.03702092404595</v>
      </c>
      <c r="W23" s="4">
        <f t="shared" si="1"/>
        <v>164.28917835000908</v>
      </c>
      <c r="X23" s="4">
        <f t="shared" si="1"/>
        <v>-63.059566037316195</v>
      </c>
      <c r="Y23" s="4">
        <f t="shared" si="1"/>
        <v>3510.9962635940215</v>
      </c>
      <c r="Z23" s="4">
        <f t="shared" si="1"/>
        <v>495.49483027048029</v>
      </c>
      <c r="AA23" s="4">
        <f t="shared" si="1"/>
        <v>2005.3309006883335</v>
      </c>
      <c r="AB23" s="4">
        <f t="shared" si="1"/>
        <v>1.4336133686523629</v>
      </c>
      <c r="AC23" s="4">
        <f t="shared" si="1"/>
        <v>1168.5844172903369</v>
      </c>
      <c r="AD23" s="4">
        <f t="shared" si="1"/>
        <v>687.5550548460443</v>
      </c>
      <c r="AE23" s="4">
        <f t="shared" si="1"/>
        <v>0</v>
      </c>
      <c r="AF23" s="4">
        <f t="shared" si="1"/>
        <v>2361.5436565100204</v>
      </c>
      <c r="AG23" s="4">
        <f t="shared" si="1"/>
        <v>2102.0830519714868</v>
      </c>
      <c r="AH23" s="4">
        <f t="shared" si="1"/>
        <v>18.585309510816284</v>
      </c>
      <c r="AI23" s="4">
        <f t="shared" si="1"/>
        <v>3716.504422146832</v>
      </c>
      <c r="AJ23" s="4">
        <f t="shared" si="1"/>
        <v>5214.2343784932327</v>
      </c>
      <c r="AK23" s="4">
        <f t="shared" si="1"/>
        <v>970.58339709935501</v>
      </c>
      <c r="AL23" s="4">
        <f t="shared" si="1"/>
        <v>0</v>
      </c>
      <c r="AM23" s="4">
        <f t="shared" si="1"/>
        <v>0</v>
      </c>
      <c r="AN23" s="4">
        <f t="shared" si="1"/>
        <v>10.620487414910325</v>
      </c>
      <c r="AO23" s="4">
        <f t="shared" si="1"/>
        <v>189.41872981388116</v>
      </c>
      <c r="AP23" s="4">
        <f t="shared" si="1"/>
        <v>175.71958804143023</v>
      </c>
      <c r="AQ23" s="4">
        <f t="shared" si="1"/>
        <v>471.10010712467636</v>
      </c>
      <c r="AR23" s="4">
        <f t="shared" si="1"/>
        <v>1447.2426306914801</v>
      </c>
      <c r="AS23" s="4">
        <f t="shared" si="1"/>
        <v>64.355390067908203</v>
      </c>
      <c r="AT23" s="4">
        <f t="shared" si="1"/>
        <v>11637.840559883396</v>
      </c>
      <c r="AU23" s="4">
        <f t="shared" si="1"/>
        <v>194.54544279165557</v>
      </c>
      <c r="AV23" s="4">
        <f t="shared" si="1"/>
        <v>2248.7900651767086</v>
      </c>
      <c r="AW23" s="4">
        <f t="shared" si="1"/>
        <v>153.00951363424841</v>
      </c>
      <c r="AX23" s="4">
        <f t="shared" si="1"/>
        <v>634.94862659103705</v>
      </c>
      <c r="AY23" s="4">
        <f t="shared" si="1"/>
        <v>2728.3623248041258</v>
      </c>
      <c r="AZ23" s="4">
        <f t="shared" si="1"/>
        <v>0</v>
      </c>
      <c r="BA23" s="4">
        <f t="shared" si="1"/>
        <v>17.454312718533924</v>
      </c>
      <c r="BB23" s="4">
        <f t="shared" si="1"/>
        <v>2236.6930838911917</v>
      </c>
      <c r="BC23" s="4">
        <f t="shared" si="1"/>
        <v>2.3313539198337461</v>
      </c>
      <c r="BD23" s="4">
        <f t="shared" si="1"/>
        <v>2136.3926075848658</v>
      </c>
      <c r="BE23" s="4">
        <f t="shared" si="1"/>
        <v>21.174893167338556</v>
      </c>
      <c r="BF23" s="4">
        <f t="shared" si="1"/>
        <v>69.921295767836284</v>
      </c>
      <c r="BG23" s="4">
        <f t="shared" si="1"/>
        <v>197.60272543088334</v>
      </c>
      <c r="BH23" s="4">
        <f t="shared" si="1"/>
        <v>3091.9072656265307</v>
      </c>
      <c r="BI23" s="4">
        <f t="shared" si="1"/>
        <v>0</v>
      </c>
      <c r="BJ23" s="4">
        <f t="shared" si="1"/>
        <v>0</v>
      </c>
      <c r="BK23" s="4">
        <f t="shared" si="1"/>
        <v>0</v>
      </c>
      <c r="BL23" s="4">
        <f t="shared" si="1"/>
        <v>0</v>
      </c>
      <c r="BM23" s="4">
        <f t="shared" si="1"/>
        <v>0</v>
      </c>
      <c r="BN23" s="4">
        <f t="shared" si="1"/>
        <v>870.5246947746291</v>
      </c>
      <c r="BO23" s="4">
        <f t="shared" si="1"/>
        <v>4600.4553253421063</v>
      </c>
      <c r="BP23" s="4">
        <f t="shared" si="1"/>
        <v>1383.3554188564347</v>
      </c>
      <c r="BQ23" s="4">
        <f t="shared" si="1"/>
        <v>2219.3236541531564</v>
      </c>
      <c r="BR23" s="4">
        <f t="shared" si="1"/>
        <v>4129.4828813990762</v>
      </c>
      <c r="BS23" s="4">
        <f t="shared" si="1"/>
        <v>2724.9930702051165</v>
      </c>
      <c r="BT23" s="4">
        <f t="shared" ref="BT23:EE23" si="2">SUM(BT7:BT22,BT5)</f>
        <v>4272.2017343512043</v>
      </c>
      <c r="BU23" s="4">
        <f t="shared" si="2"/>
        <v>652.90835203659378</v>
      </c>
      <c r="BV23" s="4">
        <f t="shared" si="2"/>
        <v>5.0545147882172702E-2</v>
      </c>
      <c r="BW23" s="4">
        <f t="shared" si="2"/>
        <v>0.46098603818157063</v>
      </c>
      <c r="BX23" s="4">
        <f t="shared" si="2"/>
        <v>5.0264780265013814E-4</v>
      </c>
      <c r="BY23" s="4">
        <f t="shared" si="2"/>
        <v>8.6016802119141769</v>
      </c>
      <c r="BZ23" s="4">
        <f t="shared" si="2"/>
        <v>99.22186974439559</v>
      </c>
      <c r="CA23" s="4">
        <f t="shared" si="2"/>
        <v>514.30778849751653</v>
      </c>
      <c r="CB23" s="4">
        <f t="shared" si="2"/>
        <v>-191.44489467028973</v>
      </c>
      <c r="CC23" s="4">
        <f t="shared" si="2"/>
        <v>107.95872788434286</v>
      </c>
      <c r="CD23" s="4">
        <f t="shared" si="2"/>
        <v>46.819327044525629</v>
      </c>
      <c r="CE23" s="4">
        <f t="shared" si="2"/>
        <v>721.35463343774222</v>
      </c>
      <c r="CF23" s="4">
        <f t="shared" si="2"/>
        <v>8.9968662350131829</v>
      </c>
      <c r="CG23" s="4">
        <f t="shared" si="2"/>
        <v>0.7797230365552319</v>
      </c>
      <c r="CH23" s="4">
        <f t="shared" si="2"/>
        <v>3.0423122051306821</v>
      </c>
      <c r="CI23" s="4">
        <f t="shared" si="2"/>
        <v>497.62242770615728</v>
      </c>
      <c r="CJ23" s="4">
        <f t="shared" si="2"/>
        <v>544.65879079692672</v>
      </c>
      <c r="CK23" s="4">
        <f t="shared" si="2"/>
        <v>1435.164840341472</v>
      </c>
      <c r="CL23" s="4">
        <f t="shared" si="2"/>
        <v>418.57067718767502</v>
      </c>
      <c r="CM23" s="4">
        <f t="shared" si="2"/>
        <v>397.86810186263199</v>
      </c>
      <c r="CN23" s="4">
        <f t="shared" si="2"/>
        <v>209.28850767570114</v>
      </c>
      <c r="CO23" s="4">
        <f t="shared" si="2"/>
        <v>6.1327102311654071</v>
      </c>
      <c r="CP23" s="4">
        <f t="shared" si="2"/>
        <v>0</v>
      </c>
      <c r="CQ23" s="4">
        <f t="shared" si="2"/>
        <v>1070.3343888605962</v>
      </c>
      <c r="CR23" s="4">
        <f t="shared" si="2"/>
        <v>430.04370859292345</v>
      </c>
      <c r="CS23" s="4">
        <f t="shared" si="2"/>
        <v>572.30369682527703</v>
      </c>
      <c r="CT23" s="4">
        <f t="shared" si="2"/>
        <v>1613.4382834109067</v>
      </c>
      <c r="CU23" s="4">
        <f t="shared" si="2"/>
        <v>56.250476364967994</v>
      </c>
      <c r="CV23" s="4">
        <f t="shared" si="2"/>
        <v>340.64110807458201</v>
      </c>
      <c r="CW23" s="4">
        <f t="shared" si="2"/>
        <v>310.95808513895827</v>
      </c>
      <c r="CX23" s="4">
        <f t="shared" si="2"/>
        <v>209.17230881139022</v>
      </c>
      <c r="CY23" s="4">
        <f t="shared" si="2"/>
        <v>417.75707720650257</v>
      </c>
      <c r="CZ23" s="4">
        <f t="shared" si="2"/>
        <v>103.43292971658616</v>
      </c>
      <c r="DA23" s="4">
        <f t="shared" si="2"/>
        <v>2155.3219539927481</v>
      </c>
      <c r="DB23" s="4">
        <f t="shared" si="2"/>
        <v>190.02061649476099</v>
      </c>
      <c r="DC23" s="4">
        <f t="shared" si="2"/>
        <v>184.67432920267669</v>
      </c>
      <c r="DD23" s="4">
        <f t="shared" si="2"/>
        <v>105.51707237380272</v>
      </c>
      <c r="DE23" s="4">
        <f t="shared" si="2"/>
        <v>222.26563088471164</v>
      </c>
      <c r="DF23" s="4">
        <f t="shared" si="2"/>
        <v>157.2327306658901</v>
      </c>
      <c r="DG23" s="4">
        <f t="shared" si="2"/>
        <v>87.676230766707491</v>
      </c>
      <c r="DH23" s="4">
        <f t="shared" si="2"/>
        <v>1095.3557820622148</v>
      </c>
      <c r="DI23" s="4">
        <f t="shared" si="2"/>
        <v>154.31724037633373</v>
      </c>
      <c r="DJ23" s="4">
        <f t="shared" si="2"/>
        <v>-6.3161481698008073</v>
      </c>
      <c r="DK23" s="4">
        <f t="shared" si="2"/>
        <v>1.9332607794236083E-4</v>
      </c>
      <c r="DL23" s="4">
        <f t="shared" si="2"/>
        <v>0</v>
      </c>
      <c r="DM23" s="4">
        <f t="shared" si="2"/>
        <v>983.06903475644617</v>
      </c>
      <c r="DN23" s="4">
        <f t="shared" si="2"/>
        <v>150.48039256589661</v>
      </c>
      <c r="DO23" s="4">
        <f t="shared" si="2"/>
        <v>108.81205113785315</v>
      </c>
      <c r="DP23" s="4">
        <f t="shared" si="2"/>
        <v>877.08801608795977</v>
      </c>
      <c r="DQ23" s="4">
        <f t="shared" si="2"/>
        <v>359.83938813386771</v>
      </c>
      <c r="DR23" s="4">
        <f t="shared" si="2"/>
        <v>640.85545499340924</v>
      </c>
      <c r="DS23" s="4">
        <f t="shared" si="2"/>
        <v>1945.7740854217307</v>
      </c>
      <c r="DT23" s="4">
        <f t="shared" si="2"/>
        <v>662.18141526523004</v>
      </c>
      <c r="DU23" s="4">
        <f t="shared" si="2"/>
        <v>1518.7687667184055</v>
      </c>
      <c r="DV23" s="4">
        <f t="shared" si="2"/>
        <v>905.30681998763214</v>
      </c>
      <c r="DW23" s="4">
        <f t="shared" si="2"/>
        <v>0</v>
      </c>
      <c r="DX23" s="4">
        <f t="shared" si="2"/>
        <v>0</v>
      </c>
      <c r="DY23" s="4">
        <f t="shared" si="2"/>
        <v>0</v>
      </c>
      <c r="DZ23" s="4">
        <f t="shared" si="2"/>
        <v>0</v>
      </c>
      <c r="EA23" s="4">
        <f t="shared" si="2"/>
        <v>0</v>
      </c>
      <c r="EB23" s="4">
        <f t="shared" si="2"/>
        <v>0</v>
      </c>
      <c r="EC23" s="4">
        <f t="shared" si="2"/>
        <v>0</v>
      </c>
      <c r="ED23" s="4">
        <f t="shared" si="2"/>
        <v>0</v>
      </c>
      <c r="EE23" s="4">
        <f t="shared" si="2"/>
        <v>633.77513066429458</v>
      </c>
      <c r="EF23" s="4">
        <f t="shared" ref="EF23:FQ23" si="3">SUM(EF7:EF22,EF5)</f>
        <v>2022.3488845076688</v>
      </c>
      <c r="EG23" s="4">
        <f t="shared" si="3"/>
        <v>11409.814109178838</v>
      </c>
      <c r="EH23" s="4">
        <f t="shared" si="3"/>
        <v>10076.924850005644</v>
      </c>
      <c r="EI23" s="4">
        <f t="shared" si="3"/>
        <v>729.9365441064399</v>
      </c>
      <c r="EJ23" s="4">
        <f t="shared" si="3"/>
        <v>-26.842556132914098</v>
      </c>
      <c r="EK23" s="4">
        <f t="shared" si="3"/>
        <v>1.4336133686523629</v>
      </c>
      <c r="EL23" s="4">
        <f t="shared" si="3"/>
        <v>-71.0325528010151</v>
      </c>
      <c r="EM23" s="4">
        <f t="shared" si="3"/>
        <v>1.4336133686523629</v>
      </c>
      <c r="EN23" s="4">
        <f t="shared" si="3"/>
        <v>72.46616616966746</v>
      </c>
      <c r="EO23" s="4">
        <f t="shared" si="3"/>
        <v>30927.559171560279</v>
      </c>
      <c r="EP23" s="4">
        <f t="shared" si="3"/>
        <v>265.5363480019015</v>
      </c>
      <c r="EQ23" s="4">
        <f t="shared" si="3"/>
        <v>240.49393257615822</v>
      </c>
      <c r="ER23" s="4">
        <f t="shared" si="3"/>
        <v>20481.57816177576</v>
      </c>
      <c r="ES23" s="4">
        <f t="shared" si="3"/>
        <v>1.4336133686523629</v>
      </c>
      <c r="ET23" s="4">
        <f t="shared" si="3"/>
        <v>2179.5538972441959</v>
      </c>
      <c r="EU23" s="4">
        <f t="shared" si="3"/>
        <v>13174.403064126349</v>
      </c>
      <c r="EV23" s="4">
        <f t="shared" si="3"/>
        <v>556.4976718560913</v>
      </c>
      <c r="EW23" s="4">
        <f t="shared" si="3"/>
        <v>1630.3811274076641</v>
      </c>
      <c r="EX23" s="4">
        <f t="shared" si="3"/>
        <v>956.38564212319159</v>
      </c>
      <c r="EY23" s="4">
        <f t="shared" si="3"/>
        <v>40.217968619651622</v>
      </c>
      <c r="EZ23" s="4">
        <f t="shared" si="3"/>
        <v>186.20029546254617</v>
      </c>
      <c r="FA23" s="4">
        <f t="shared" si="3"/>
        <v>291.05687895441878</v>
      </c>
      <c r="FB23" s="4">
        <f t="shared" si="3"/>
        <v>56.858515577471778</v>
      </c>
      <c r="FC23" s="4">
        <f t="shared" si="3"/>
        <v>15.701620128036025</v>
      </c>
      <c r="FD23" s="4">
        <f t="shared" si="3"/>
        <v>27.738361287537426</v>
      </c>
      <c r="FE23" s="4">
        <f t="shared" si="3"/>
        <v>18.077601350199668</v>
      </c>
      <c r="FF23" s="4">
        <f t="shared" si="3"/>
        <v>14.23462023413177</v>
      </c>
      <c r="FG23" s="4">
        <f t="shared" si="3"/>
        <v>25.91119436513727</v>
      </c>
      <c r="FH23" s="4">
        <f t="shared" si="3"/>
        <v>50.196638060566485</v>
      </c>
      <c r="FI23" s="4">
        <f t="shared" si="3"/>
        <v>7.2238240995916398E-3</v>
      </c>
      <c r="FJ23" s="4">
        <f t="shared" si="3"/>
        <v>-0.40065236624341105</v>
      </c>
      <c r="FK23" s="4">
        <f t="shared" si="3"/>
        <v>-1.0561788961649847</v>
      </c>
      <c r="FL23" s="4">
        <f t="shared" si="3"/>
        <v>2.3874245846988789</v>
      </c>
      <c r="FM23" s="4">
        <f t="shared" si="3"/>
        <v>8.4635660856754391E-2</v>
      </c>
      <c r="FN23" s="4">
        <f t="shared" si="3"/>
        <v>0.58411304507950756</v>
      </c>
      <c r="FO23" s="4">
        <f t="shared" si="3"/>
        <v>1.3551280792717828</v>
      </c>
      <c r="FP23" s="4">
        <f t="shared" si="3"/>
        <v>-4.2208500995051077</v>
      </c>
      <c r="FQ23" s="4">
        <f t="shared" si="3"/>
        <v>2.4447463456368258E-3</v>
      </c>
    </row>
    <row r="24" spans="2:173" x14ac:dyDescent="0.35">
      <c r="B24" s="12"/>
      <c r="C24" s="12"/>
      <c r="D24" s="12"/>
      <c r="E24" s="13" t="s">
        <v>191</v>
      </c>
      <c r="F24" s="6">
        <f t="shared" si="0"/>
        <v>229915.9423344844</v>
      </c>
      <c r="G24" s="4">
        <f>SUM(G8:G22,G5:G6)</f>
        <v>3.2269330629423183</v>
      </c>
      <c r="H24" s="4">
        <f t="shared" ref="H24:BS24" si="4">SUM(H8:H22,H5:H6)</f>
        <v>3061.1988923206195</v>
      </c>
      <c r="I24" s="4">
        <f t="shared" si="4"/>
        <v>9660.7379637872727</v>
      </c>
      <c r="J24" s="4">
        <f t="shared" si="4"/>
        <v>1163.5159579554822</v>
      </c>
      <c r="K24" s="4">
        <f t="shared" si="4"/>
        <v>93.384287533158613</v>
      </c>
      <c r="L24" s="4">
        <f t="shared" si="4"/>
        <v>2533.5464474119963</v>
      </c>
      <c r="M24" s="4">
        <f t="shared" si="4"/>
        <v>72.293223465764953</v>
      </c>
      <c r="N24" s="4">
        <f t="shared" si="4"/>
        <v>1179.6349026133585</v>
      </c>
      <c r="O24" s="4">
        <f t="shared" si="4"/>
        <v>0</v>
      </c>
      <c r="P24" s="4">
        <f t="shared" si="4"/>
        <v>218.6908440494077</v>
      </c>
      <c r="Q24" s="4">
        <f t="shared" si="4"/>
        <v>10098.559904584932</v>
      </c>
      <c r="R24" s="4">
        <f t="shared" si="4"/>
        <v>6998.4786647173496</v>
      </c>
      <c r="S24" s="4">
        <f t="shared" si="4"/>
        <v>9193.2101556569414</v>
      </c>
      <c r="T24" s="4">
        <f t="shared" si="4"/>
        <v>1784.5853861833057</v>
      </c>
      <c r="U24" s="4">
        <f t="shared" si="4"/>
        <v>1757.1080020038473</v>
      </c>
      <c r="V24" s="4">
        <f t="shared" si="4"/>
        <v>3.03702092404595</v>
      </c>
      <c r="W24" s="4">
        <f t="shared" si="4"/>
        <v>164.28917835000908</v>
      </c>
      <c r="X24" s="4">
        <f t="shared" si="4"/>
        <v>-63.059566037316195</v>
      </c>
      <c r="Y24" s="4">
        <f t="shared" si="4"/>
        <v>3541.1974571416217</v>
      </c>
      <c r="Z24" s="4">
        <f t="shared" si="4"/>
        <v>504.47780171678301</v>
      </c>
      <c r="AA24" s="4">
        <f t="shared" si="4"/>
        <v>2062.0712512583336</v>
      </c>
      <c r="AB24" s="4">
        <f t="shared" si="4"/>
        <v>1.4336133686523629</v>
      </c>
      <c r="AC24" s="4">
        <f t="shared" si="4"/>
        <v>1168.0037323103368</v>
      </c>
      <c r="AD24" s="4">
        <f t="shared" si="4"/>
        <v>699.30867484604437</v>
      </c>
      <c r="AE24" s="4">
        <f t="shared" si="4"/>
        <v>0</v>
      </c>
      <c r="AF24" s="4">
        <f t="shared" si="4"/>
        <v>2383.8509339100201</v>
      </c>
      <c r="AG24" s="4">
        <f t="shared" si="4"/>
        <v>2110.3967301658467</v>
      </c>
      <c r="AH24" s="4">
        <f t="shared" si="4"/>
        <v>18.585309510816284</v>
      </c>
      <c r="AI24" s="4">
        <f t="shared" si="4"/>
        <v>3747.4498008968312</v>
      </c>
      <c r="AJ24" s="4">
        <f t="shared" si="4"/>
        <v>5222.6149636974933</v>
      </c>
      <c r="AK24" s="4">
        <f t="shared" si="4"/>
        <v>973.18427324049105</v>
      </c>
      <c r="AL24" s="4">
        <f t="shared" si="4"/>
        <v>0</v>
      </c>
      <c r="AM24" s="4">
        <f t="shared" si="4"/>
        <v>0</v>
      </c>
      <c r="AN24" s="4">
        <f t="shared" si="4"/>
        <v>10.620487414910325</v>
      </c>
      <c r="AO24" s="4">
        <f t="shared" si="4"/>
        <v>191.40332941388115</v>
      </c>
      <c r="AP24" s="4">
        <f t="shared" si="4"/>
        <v>175.2660298477023</v>
      </c>
      <c r="AQ24" s="4">
        <f t="shared" si="4"/>
        <v>471.10010712467636</v>
      </c>
      <c r="AR24" s="4">
        <f t="shared" si="4"/>
        <v>1447.4978706914799</v>
      </c>
      <c r="AS24" s="4">
        <f t="shared" si="4"/>
        <v>66.120968337292297</v>
      </c>
      <c r="AT24" s="4">
        <f t="shared" si="4"/>
        <v>11405.633833061171</v>
      </c>
      <c r="AU24" s="4">
        <f t="shared" si="4"/>
        <v>195.58149381388159</v>
      </c>
      <c r="AV24" s="4">
        <f t="shared" si="4"/>
        <v>2252.738778367413</v>
      </c>
      <c r="AW24" s="4">
        <f t="shared" si="4"/>
        <v>153.58581597412908</v>
      </c>
      <c r="AX24" s="4">
        <f t="shared" si="4"/>
        <v>635.46703496103703</v>
      </c>
      <c r="AY24" s="4">
        <f t="shared" si="4"/>
        <v>2724.8985351541255</v>
      </c>
      <c r="AZ24" s="4">
        <f t="shared" si="4"/>
        <v>0</v>
      </c>
      <c r="BA24" s="4">
        <f t="shared" si="4"/>
        <v>17.454312718533924</v>
      </c>
      <c r="BB24" s="4">
        <f t="shared" si="4"/>
        <v>2236.983067431192</v>
      </c>
      <c r="BC24" s="4">
        <f t="shared" si="4"/>
        <v>2.3313539198337461</v>
      </c>
      <c r="BD24" s="4">
        <f t="shared" si="4"/>
        <v>2137.0819451291695</v>
      </c>
      <c r="BE24" s="4">
        <f t="shared" si="4"/>
        <v>21.174893167338556</v>
      </c>
      <c r="BF24" s="4">
        <f t="shared" si="4"/>
        <v>69.921295767836284</v>
      </c>
      <c r="BG24" s="4">
        <f t="shared" si="4"/>
        <v>197.60272543088334</v>
      </c>
      <c r="BH24" s="4">
        <f t="shared" si="4"/>
        <v>3093.7083578425313</v>
      </c>
      <c r="BI24" s="4">
        <f t="shared" si="4"/>
        <v>0</v>
      </c>
      <c r="BJ24" s="4">
        <f t="shared" si="4"/>
        <v>0</v>
      </c>
      <c r="BK24" s="4">
        <f t="shared" si="4"/>
        <v>0</v>
      </c>
      <c r="BL24" s="4">
        <f t="shared" si="4"/>
        <v>0</v>
      </c>
      <c r="BM24" s="4">
        <f t="shared" si="4"/>
        <v>0</v>
      </c>
      <c r="BN24" s="4">
        <f t="shared" si="4"/>
        <v>870.5246947746291</v>
      </c>
      <c r="BO24" s="4">
        <f t="shared" si="4"/>
        <v>4600.9642816361065</v>
      </c>
      <c r="BP24" s="4">
        <f t="shared" si="4"/>
        <v>1383.4818035764347</v>
      </c>
      <c r="BQ24" s="4">
        <f t="shared" si="4"/>
        <v>2221.2389583131567</v>
      </c>
      <c r="BR24" s="4">
        <f t="shared" si="4"/>
        <v>4130.6432867990752</v>
      </c>
      <c r="BS24" s="4">
        <f t="shared" si="4"/>
        <v>2725.4792928651163</v>
      </c>
      <c r="BT24" s="4">
        <f t="shared" ref="BT24:EE24" si="5">SUM(BT8:BT22,BT5:BT6)</f>
        <v>4272.4354832512054</v>
      </c>
      <c r="BU24" s="4">
        <f t="shared" si="5"/>
        <v>652.90835203659378</v>
      </c>
      <c r="BV24" s="4">
        <f t="shared" si="5"/>
        <v>5.0545147882172702E-2</v>
      </c>
      <c r="BW24" s="4">
        <f t="shared" si="5"/>
        <v>0.46098603818157063</v>
      </c>
      <c r="BX24" s="4">
        <f t="shared" si="5"/>
        <v>5.0264780265013814E-4</v>
      </c>
      <c r="BY24" s="4">
        <f t="shared" si="5"/>
        <v>8.6016802119141769</v>
      </c>
      <c r="BZ24" s="4">
        <f t="shared" si="5"/>
        <v>99.22186974439559</v>
      </c>
      <c r="CA24" s="4">
        <f t="shared" si="5"/>
        <v>514.30778849751653</v>
      </c>
      <c r="CB24" s="4">
        <f t="shared" si="5"/>
        <v>-191.44489467028973</v>
      </c>
      <c r="CC24" s="4">
        <f t="shared" si="5"/>
        <v>107.95872788434286</v>
      </c>
      <c r="CD24" s="4">
        <f t="shared" si="5"/>
        <v>46.819327044525629</v>
      </c>
      <c r="CE24" s="4">
        <f t="shared" si="5"/>
        <v>722.39809270313424</v>
      </c>
      <c r="CF24" s="4">
        <f t="shared" si="5"/>
        <v>8.9968662350131829</v>
      </c>
      <c r="CG24" s="4">
        <f t="shared" si="5"/>
        <v>0.7797230365552319</v>
      </c>
      <c r="CH24" s="4">
        <f t="shared" si="5"/>
        <v>3.0423122051306821</v>
      </c>
      <c r="CI24" s="4">
        <f t="shared" si="5"/>
        <v>505.24164188274779</v>
      </c>
      <c r="CJ24" s="4">
        <f t="shared" si="5"/>
        <v>551.94138272081364</v>
      </c>
      <c r="CK24" s="4">
        <f t="shared" si="5"/>
        <v>1456.5257896862756</v>
      </c>
      <c r="CL24" s="4">
        <f t="shared" si="5"/>
        <v>420.90411634522451</v>
      </c>
      <c r="CM24" s="4">
        <f t="shared" si="5"/>
        <v>406.64138230735375</v>
      </c>
      <c r="CN24" s="4">
        <f t="shared" si="5"/>
        <v>211.29922813312794</v>
      </c>
      <c r="CO24" s="4">
        <f t="shared" si="5"/>
        <v>6.571237979724792</v>
      </c>
      <c r="CP24" s="4">
        <f t="shared" si="5"/>
        <v>0</v>
      </c>
      <c r="CQ24" s="4">
        <f t="shared" si="5"/>
        <v>1079.0582618456469</v>
      </c>
      <c r="CR24" s="4">
        <f t="shared" si="5"/>
        <v>435.57331447086784</v>
      </c>
      <c r="CS24" s="4">
        <f t="shared" si="5"/>
        <v>578.5496792082298</v>
      </c>
      <c r="CT24" s="4">
        <f t="shared" si="5"/>
        <v>1644.7743985281866</v>
      </c>
      <c r="CU24" s="4">
        <f t="shared" si="5"/>
        <v>67.862192666737656</v>
      </c>
      <c r="CV24" s="4">
        <f t="shared" si="5"/>
        <v>349.38897546578278</v>
      </c>
      <c r="CW24" s="4">
        <f t="shared" si="5"/>
        <v>313.19564502068062</v>
      </c>
      <c r="CX24" s="4">
        <f t="shared" si="5"/>
        <v>211.54570047395816</v>
      </c>
      <c r="CY24" s="4">
        <f t="shared" si="5"/>
        <v>418.89963777361135</v>
      </c>
      <c r="CZ24" s="4">
        <f t="shared" si="5"/>
        <v>105.81432879160872</v>
      </c>
      <c r="DA24" s="4">
        <f t="shared" si="5"/>
        <v>2176.5559795305112</v>
      </c>
      <c r="DB24" s="4">
        <f t="shared" si="5"/>
        <v>192.71009010721053</v>
      </c>
      <c r="DC24" s="4">
        <f t="shared" si="5"/>
        <v>189.25817690289472</v>
      </c>
      <c r="DD24" s="4">
        <f t="shared" si="5"/>
        <v>106.87049968847329</v>
      </c>
      <c r="DE24" s="4">
        <f t="shared" si="5"/>
        <v>225.3009704162148</v>
      </c>
      <c r="DF24" s="4">
        <f t="shared" si="5"/>
        <v>159.49888848468976</v>
      </c>
      <c r="DG24" s="4">
        <f t="shared" si="5"/>
        <v>88.940564870895017</v>
      </c>
      <c r="DH24" s="4">
        <f t="shared" si="5"/>
        <v>1113.4616617840882</v>
      </c>
      <c r="DI24" s="4">
        <f t="shared" si="5"/>
        <v>155.96190131129947</v>
      </c>
      <c r="DJ24" s="4">
        <f t="shared" si="5"/>
        <v>-6.3161481698008073</v>
      </c>
      <c r="DK24" s="4">
        <f t="shared" si="5"/>
        <v>1.9332607794236083E-4</v>
      </c>
      <c r="DL24" s="4">
        <f t="shared" si="5"/>
        <v>0</v>
      </c>
      <c r="DM24" s="4">
        <f t="shared" si="5"/>
        <v>1007.6969794524437</v>
      </c>
      <c r="DN24" s="4">
        <f t="shared" si="5"/>
        <v>154.89140240171315</v>
      </c>
      <c r="DO24" s="4">
        <f t="shared" si="5"/>
        <v>108.96280081385316</v>
      </c>
      <c r="DP24" s="4">
        <f t="shared" si="5"/>
        <v>877.43033544995978</v>
      </c>
      <c r="DQ24" s="4">
        <f t="shared" si="5"/>
        <v>360.49849992566772</v>
      </c>
      <c r="DR24" s="4">
        <f t="shared" si="5"/>
        <v>631.60426696142974</v>
      </c>
      <c r="DS24" s="4">
        <f t="shared" si="5"/>
        <v>1944.829943711529</v>
      </c>
      <c r="DT24" s="4">
        <f t="shared" si="5"/>
        <v>663.78041677538533</v>
      </c>
      <c r="DU24" s="4">
        <f t="shared" si="5"/>
        <v>1518.6369384150034</v>
      </c>
      <c r="DV24" s="4">
        <f t="shared" si="5"/>
        <v>905.19319468492381</v>
      </c>
      <c r="DW24" s="4">
        <f t="shared" si="5"/>
        <v>0</v>
      </c>
      <c r="DX24" s="4">
        <f t="shared" si="5"/>
        <v>0</v>
      </c>
      <c r="DY24" s="4">
        <f t="shared" si="5"/>
        <v>0</v>
      </c>
      <c r="DZ24" s="4">
        <f t="shared" si="5"/>
        <v>0</v>
      </c>
      <c r="EA24" s="4">
        <f t="shared" si="5"/>
        <v>0</v>
      </c>
      <c r="EB24" s="4">
        <f t="shared" si="5"/>
        <v>0</v>
      </c>
      <c r="EC24" s="4">
        <f t="shared" si="5"/>
        <v>0</v>
      </c>
      <c r="ED24" s="4">
        <f t="shared" si="5"/>
        <v>0</v>
      </c>
      <c r="EE24" s="4">
        <f t="shared" si="5"/>
        <v>633.98396616405182</v>
      </c>
      <c r="EF24" s="4">
        <f t="shared" ref="EF24:FQ24" si="6">SUM(EF8:EF22,EF5:EF6)</f>
        <v>2023.5484021680015</v>
      </c>
      <c r="EG24" s="4">
        <f t="shared" si="6"/>
        <v>11415.64661635529</v>
      </c>
      <c r="EH24" s="4">
        <f t="shared" si="6"/>
        <v>10117.506404805643</v>
      </c>
      <c r="EI24" s="4">
        <f t="shared" si="6"/>
        <v>729.9365441064399</v>
      </c>
      <c r="EJ24" s="4">
        <f t="shared" si="6"/>
        <v>-26.842556132914098</v>
      </c>
      <c r="EK24" s="4">
        <f t="shared" si="6"/>
        <v>1.4336133686523629</v>
      </c>
      <c r="EL24" s="4">
        <f t="shared" si="6"/>
        <v>-71.0325528010151</v>
      </c>
      <c r="EM24" s="4">
        <f t="shared" si="6"/>
        <v>1.4336133686523629</v>
      </c>
      <c r="EN24" s="4">
        <f t="shared" si="6"/>
        <v>72.46616616966746</v>
      </c>
      <c r="EO24" s="4">
        <f t="shared" si="6"/>
        <v>30924.705571632279</v>
      </c>
      <c r="EP24" s="4">
        <f t="shared" si="6"/>
        <v>265.5363480019015</v>
      </c>
      <c r="EQ24" s="4">
        <f t="shared" si="6"/>
        <v>240.49393257615822</v>
      </c>
      <c r="ER24" s="4">
        <f t="shared" si="6"/>
        <v>20504.685233975761</v>
      </c>
      <c r="ES24" s="4">
        <f t="shared" si="6"/>
        <v>1.4336133686523629</v>
      </c>
      <c r="ET24" s="4">
        <f t="shared" si="6"/>
        <v>2180.9232140441959</v>
      </c>
      <c r="EU24" s="4">
        <f t="shared" si="6"/>
        <v>13194.020656826349</v>
      </c>
      <c r="EV24" s="4">
        <f t="shared" si="6"/>
        <v>554.55914385609128</v>
      </c>
      <c r="EW24" s="4">
        <f t="shared" si="6"/>
        <v>1631.2282109423397</v>
      </c>
      <c r="EX24" s="4">
        <f t="shared" si="6"/>
        <v>962.67947306598751</v>
      </c>
      <c r="EY24" s="4">
        <f t="shared" si="6"/>
        <v>39.99889261965162</v>
      </c>
      <c r="EZ24" s="4">
        <f t="shared" si="6"/>
        <v>189.70210216267961</v>
      </c>
      <c r="FA24" s="4">
        <f t="shared" si="6"/>
        <v>291.05687895441878</v>
      </c>
      <c r="FB24" s="4">
        <f t="shared" si="6"/>
        <v>57.781149749184699</v>
      </c>
      <c r="FC24" s="4">
        <f t="shared" si="6"/>
        <v>16.119430515711962</v>
      </c>
      <c r="FD24" s="4">
        <f t="shared" si="6"/>
        <v>27.726732373273848</v>
      </c>
      <c r="FE24" s="4">
        <f t="shared" si="6"/>
        <v>18.085315428561465</v>
      </c>
      <c r="FF24" s="4">
        <f t="shared" si="6"/>
        <v>14.240305324434164</v>
      </c>
      <c r="FG24" s="4">
        <f t="shared" si="6"/>
        <v>25.925187695350445</v>
      </c>
      <c r="FH24" s="4">
        <f t="shared" si="6"/>
        <v>50.228897279134685</v>
      </c>
      <c r="FI24" s="4">
        <f t="shared" si="6"/>
        <v>7.2238240995916398E-3</v>
      </c>
      <c r="FJ24" s="4">
        <f t="shared" si="6"/>
        <v>-0.40065236624341105</v>
      </c>
      <c r="FK24" s="4">
        <f t="shared" si="6"/>
        <v>-1.0561788961649847</v>
      </c>
      <c r="FL24" s="4">
        <f t="shared" si="6"/>
        <v>2.3874245846988789</v>
      </c>
      <c r="FM24" s="4">
        <f t="shared" si="6"/>
        <v>8.4635660856754391E-2</v>
      </c>
      <c r="FN24" s="4">
        <f t="shared" si="6"/>
        <v>0.58411304507950756</v>
      </c>
      <c r="FO24" s="4">
        <f t="shared" si="6"/>
        <v>1.3551280792717828</v>
      </c>
      <c r="FP24" s="4">
        <f t="shared" si="6"/>
        <v>-4.2208500995051077</v>
      </c>
      <c r="FQ24" s="4">
        <f t="shared" si="6"/>
        <v>2.4447463456368258E-3</v>
      </c>
    </row>
    <row r="26" spans="2:173" x14ac:dyDescent="0.35">
      <c r="B26" s="5" t="s">
        <v>223</v>
      </c>
    </row>
    <row r="28" spans="2:173" x14ac:dyDescent="0.35">
      <c r="B28" s="15" t="s">
        <v>112</v>
      </c>
      <c r="C28" s="16" t="s">
        <v>113</v>
      </c>
      <c r="D28" s="17" t="s">
        <v>114</v>
      </c>
      <c r="E28" s="1" t="s">
        <v>2</v>
      </c>
      <c r="F28" s="2" t="s">
        <v>206</v>
      </c>
      <c r="G28" s="2" t="s">
        <v>203</v>
      </c>
      <c r="I28" s="27" t="s">
        <v>247</v>
      </c>
      <c r="J28" s="28"/>
      <c r="K28" s="28"/>
      <c r="L28" s="28"/>
      <c r="M28" s="28"/>
      <c r="N28" s="28"/>
    </row>
    <row r="29" spans="2:173" x14ac:dyDescent="0.35">
      <c r="B29" s="10">
        <v>1</v>
      </c>
      <c r="C29" s="10" t="s">
        <v>167</v>
      </c>
      <c r="D29" s="10" t="s">
        <v>168</v>
      </c>
      <c r="E29" s="3" t="s">
        <v>195</v>
      </c>
      <c r="F29" s="4">
        <v>1408.5866757999991</v>
      </c>
      <c r="G29" s="4">
        <v>1408.5866757999991</v>
      </c>
      <c r="I29" t="s">
        <v>3</v>
      </c>
      <c r="J29" t="s">
        <v>22</v>
      </c>
      <c r="K29" t="s">
        <v>67</v>
      </c>
      <c r="L29" t="s">
        <v>83</v>
      </c>
      <c r="M29" t="s">
        <v>94</v>
      </c>
      <c r="N29" t="s">
        <v>126</v>
      </c>
    </row>
    <row r="30" spans="2:173" x14ac:dyDescent="0.35">
      <c r="B30" s="10">
        <v>1</v>
      </c>
      <c r="C30" s="10" t="s">
        <v>167</v>
      </c>
      <c r="D30" s="10" t="s">
        <v>168</v>
      </c>
      <c r="E30" s="3" t="s">
        <v>196</v>
      </c>
      <c r="F30" s="4">
        <v>825.72831717385009</v>
      </c>
      <c r="G30" s="4">
        <v>825.72831717385009</v>
      </c>
      <c r="I30" t="s">
        <v>4</v>
      </c>
      <c r="J30" t="s">
        <v>23</v>
      </c>
      <c r="K30" t="s">
        <v>76</v>
      </c>
      <c r="L30" t="s">
        <v>84</v>
      </c>
      <c r="M30" t="s">
        <v>95</v>
      </c>
    </row>
    <row r="31" spans="2:173" x14ac:dyDescent="0.35">
      <c r="B31" s="10">
        <v>1</v>
      </c>
      <c r="C31" s="10" t="s">
        <v>167</v>
      </c>
      <c r="D31" s="10" t="s">
        <v>168</v>
      </c>
      <c r="E31" s="3" t="s">
        <v>197</v>
      </c>
      <c r="F31" s="4">
        <v>0</v>
      </c>
      <c r="G31" s="4">
        <v>0</v>
      </c>
      <c r="I31" t="s">
        <v>5</v>
      </c>
      <c r="J31" t="s">
        <v>13</v>
      </c>
      <c r="K31" t="s">
        <v>99</v>
      </c>
      <c r="L31" t="s">
        <v>85</v>
      </c>
      <c r="M31" t="s">
        <v>96</v>
      </c>
    </row>
    <row r="32" spans="2:173" x14ac:dyDescent="0.35">
      <c r="B32" s="10">
        <v>1</v>
      </c>
      <c r="C32" s="10" t="s">
        <v>167</v>
      </c>
      <c r="D32" s="10" t="s">
        <v>168</v>
      </c>
      <c r="E32" s="3" t="s">
        <v>198</v>
      </c>
      <c r="F32" s="4">
        <v>1.6471000000000002</v>
      </c>
      <c r="G32" s="4">
        <v>1.6471000000000002</v>
      </c>
      <c r="I32" t="s">
        <v>6</v>
      </c>
      <c r="J32" t="s">
        <v>14</v>
      </c>
      <c r="K32" t="s">
        <v>75</v>
      </c>
      <c r="L32" t="s">
        <v>86</v>
      </c>
      <c r="M32" t="s">
        <v>97</v>
      </c>
    </row>
    <row r="33" spans="2:14" x14ac:dyDescent="0.35">
      <c r="B33" s="10">
        <v>1</v>
      </c>
      <c r="C33" s="10" t="s">
        <v>167</v>
      </c>
      <c r="D33" s="10" t="s">
        <v>168</v>
      </c>
      <c r="E33" s="3" t="s">
        <v>199</v>
      </c>
      <c r="F33" s="4">
        <v>1333.8498693113579</v>
      </c>
      <c r="G33" s="4">
        <v>1333.8498693113579</v>
      </c>
      <c r="I33" t="s">
        <v>7</v>
      </c>
      <c r="J33" t="s">
        <v>15</v>
      </c>
      <c r="K33" t="s">
        <v>77</v>
      </c>
      <c r="L33" t="s">
        <v>87</v>
      </c>
      <c r="M33" t="s">
        <v>98</v>
      </c>
    </row>
    <row r="34" spans="2:14" x14ac:dyDescent="0.35">
      <c r="B34" s="10">
        <v>2</v>
      </c>
      <c r="C34" s="10" t="s">
        <v>167</v>
      </c>
      <c r="D34" s="10" t="s">
        <v>168</v>
      </c>
      <c r="E34" s="3" t="s">
        <v>200</v>
      </c>
      <c r="F34" s="4">
        <v>4520.5869049160137</v>
      </c>
      <c r="G34" s="4">
        <v>4279.6023239438364</v>
      </c>
      <c r="I34" t="s">
        <v>8</v>
      </c>
      <c r="J34" t="s">
        <v>16</v>
      </c>
      <c r="K34" t="s">
        <v>78</v>
      </c>
      <c r="L34" t="s">
        <v>88</v>
      </c>
      <c r="M34" t="s">
        <v>59</v>
      </c>
    </row>
    <row r="35" spans="2:14" x14ac:dyDescent="0.35">
      <c r="B35" s="10">
        <v>2</v>
      </c>
      <c r="C35" s="10" t="s">
        <v>167</v>
      </c>
      <c r="D35" s="10" t="s">
        <v>168</v>
      </c>
      <c r="E35" s="3" t="s">
        <v>201</v>
      </c>
      <c r="F35" s="4">
        <v>0</v>
      </c>
      <c r="G35" s="4">
        <v>0</v>
      </c>
      <c r="I35" t="s">
        <v>9</v>
      </c>
      <c r="J35" t="s">
        <v>17</v>
      </c>
      <c r="K35" t="s">
        <v>79</v>
      </c>
      <c r="L35" t="s">
        <v>89</v>
      </c>
      <c r="M35" t="s">
        <v>60</v>
      </c>
    </row>
    <row r="36" spans="2:14" x14ac:dyDescent="0.35">
      <c r="B36" s="10">
        <v>2</v>
      </c>
      <c r="C36" s="10" t="s">
        <v>167</v>
      </c>
      <c r="D36" s="10" t="s">
        <v>168</v>
      </c>
      <c r="E36" s="3" t="s">
        <v>202</v>
      </c>
      <c r="F36" s="4">
        <v>0</v>
      </c>
      <c r="G36" s="4">
        <v>0</v>
      </c>
      <c r="I36" t="s">
        <v>10</v>
      </c>
      <c r="J36" t="s">
        <v>18</v>
      </c>
      <c r="K36" t="s">
        <v>80</v>
      </c>
      <c r="L36" t="s">
        <v>90</v>
      </c>
      <c r="M36" t="s">
        <v>93</v>
      </c>
    </row>
    <row r="37" spans="2:14" x14ac:dyDescent="0.35">
      <c r="B37" s="10">
        <v>2</v>
      </c>
      <c r="C37" s="10" t="s">
        <v>167</v>
      </c>
      <c r="D37" s="10" t="s">
        <v>168</v>
      </c>
      <c r="E37" s="3" t="s">
        <v>199</v>
      </c>
      <c r="F37" s="4">
        <v>1329.2162479218264</v>
      </c>
      <c r="G37" s="4">
        <v>1338.9515573733381</v>
      </c>
      <c r="I37" t="s">
        <v>11</v>
      </c>
      <c r="J37" t="s">
        <v>19</v>
      </c>
      <c r="K37" t="s">
        <v>81</v>
      </c>
      <c r="L37" t="s">
        <v>91</v>
      </c>
      <c r="M37" t="s">
        <v>118</v>
      </c>
    </row>
    <row r="38" spans="2:14" x14ac:dyDescent="0.35">
      <c r="B38" s="11">
        <v>3</v>
      </c>
      <c r="C38" s="11">
        <v>1</v>
      </c>
      <c r="D38" s="11" t="s">
        <v>172</v>
      </c>
      <c r="E38" s="3" t="s">
        <v>173</v>
      </c>
      <c r="F38" s="4">
        <v>154151.64044865148</v>
      </c>
      <c r="G38" s="4">
        <v>154151.64044865148</v>
      </c>
      <c r="I38" t="s">
        <v>12</v>
      </c>
      <c r="J38" t="s">
        <v>20</v>
      </c>
      <c r="K38" t="s">
        <v>82</v>
      </c>
      <c r="L38" t="s">
        <v>92</v>
      </c>
      <c r="M38" t="s">
        <v>128</v>
      </c>
    </row>
    <row r="39" spans="2:14" x14ac:dyDescent="0.35">
      <c r="B39" s="11">
        <v>3</v>
      </c>
      <c r="C39" s="11">
        <v>2</v>
      </c>
      <c r="D39" s="11" t="s">
        <v>172</v>
      </c>
      <c r="E39" s="3" t="s">
        <v>174</v>
      </c>
      <c r="F39" s="4">
        <v>5971.4072272491831</v>
      </c>
      <c r="G39" s="4">
        <v>5971.4072272491831</v>
      </c>
    </row>
    <row r="40" spans="2:14" ht="29" x14ac:dyDescent="0.35">
      <c r="B40" s="11">
        <v>3</v>
      </c>
      <c r="C40" s="11">
        <v>3</v>
      </c>
      <c r="D40" s="11" t="s">
        <v>172</v>
      </c>
      <c r="E40" s="3" t="s">
        <v>175</v>
      </c>
      <c r="F40" s="4">
        <v>2160.8372314294934</v>
      </c>
      <c r="G40" s="4">
        <v>2160.8372314294934</v>
      </c>
      <c r="I40" s="27" t="s">
        <v>248</v>
      </c>
      <c r="J40" s="28"/>
      <c r="K40" s="28"/>
      <c r="L40" s="28"/>
      <c r="M40" s="28"/>
      <c r="N40" s="28"/>
    </row>
    <row r="41" spans="2:14" ht="29" x14ac:dyDescent="0.35">
      <c r="B41" s="11">
        <v>3</v>
      </c>
      <c r="C41" s="11">
        <v>4</v>
      </c>
      <c r="D41" s="11" t="s">
        <v>172</v>
      </c>
      <c r="E41" s="3" t="s">
        <v>176</v>
      </c>
      <c r="F41" s="4">
        <v>42362.159620086422</v>
      </c>
      <c r="G41" s="4">
        <v>42362.159620086422</v>
      </c>
      <c r="I41" t="s">
        <v>38</v>
      </c>
      <c r="J41" t="s">
        <v>28</v>
      </c>
    </row>
    <row r="42" spans="2:14" ht="29" x14ac:dyDescent="0.35">
      <c r="B42" s="11">
        <v>3</v>
      </c>
      <c r="C42" s="11">
        <v>5</v>
      </c>
      <c r="D42" s="11" t="s">
        <v>172</v>
      </c>
      <c r="E42" s="3" t="s">
        <v>177</v>
      </c>
      <c r="F42" s="4">
        <v>464.9853040219844</v>
      </c>
      <c r="G42" s="4">
        <v>464.9853040219844</v>
      </c>
      <c r="I42" t="s">
        <v>39</v>
      </c>
      <c r="J42" t="s">
        <v>29</v>
      </c>
    </row>
    <row r="43" spans="2:14" x14ac:dyDescent="0.35">
      <c r="B43" s="11">
        <v>3</v>
      </c>
      <c r="C43" s="11">
        <v>6</v>
      </c>
      <c r="D43" s="11" t="s">
        <v>172</v>
      </c>
      <c r="E43" s="3" t="s">
        <v>178</v>
      </c>
      <c r="F43" s="4">
        <v>5708.7732981265171</v>
      </c>
      <c r="G43" s="4">
        <v>5708.7732981265171</v>
      </c>
      <c r="I43" t="s">
        <v>24</v>
      </c>
      <c r="J43" t="s">
        <v>25</v>
      </c>
    </row>
    <row r="44" spans="2:14" x14ac:dyDescent="0.35">
      <c r="B44" s="11">
        <v>3</v>
      </c>
      <c r="C44" s="11">
        <v>7</v>
      </c>
      <c r="D44" s="11" t="s">
        <v>172</v>
      </c>
      <c r="E44" s="3" t="s">
        <v>179</v>
      </c>
      <c r="F44" s="4">
        <v>5166.7425806231067</v>
      </c>
      <c r="G44" s="4">
        <v>5166.7425806231067</v>
      </c>
      <c r="I44" t="s">
        <v>26</v>
      </c>
      <c r="J44" t="s">
        <v>214</v>
      </c>
    </row>
    <row r="45" spans="2:14" x14ac:dyDescent="0.35">
      <c r="B45" s="11">
        <v>3</v>
      </c>
      <c r="C45" s="11">
        <v>8</v>
      </c>
      <c r="D45" s="11" t="s">
        <v>172</v>
      </c>
      <c r="E45" s="3" t="s">
        <v>180</v>
      </c>
      <c r="F45" s="4">
        <v>2691.9198914799654</v>
      </c>
      <c r="G45" s="4">
        <v>2691.9198914799654</v>
      </c>
      <c r="I45" t="s">
        <v>27</v>
      </c>
      <c r="J45" t="s">
        <v>215</v>
      </c>
    </row>
    <row r="46" spans="2:14" ht="29" x14ac:dyDescent="0.35">
      <c r="B46" s="11">
        <v>3</v>
      </c>
      <c r="C46" s="11">
        <v>9</v>
      </c>
      <c r="D46" s="11" t="s">
        <v>181</v>
      </c>
      <c r="E46" s="3" t="s">
        <v>182</v>
      </c>
      <c r="F46" s="4">
        <v>0</v>
      </c>
      <c r="G46" s="4">
        <v>0</v>
      </c>
    </row>
    <row r="47" spans="2:14" x14ac:dyDescent="0.35">
      <c r="B47" s="11">
        <v>3</v>
      </c>
      <c r="C47" s="11">
        <v>10</v>
      </c>
      <c r="D47" s="11" t="s">
        <v>181</v>
      </c>
      <c r="E47" s="3" t="s">
        <v>183</v>
      </c>
      <c r="F47" s="4">
        <v>0</v>
      </c>
      <c r="G47" s="4">
        <v>0</v>
      </c>
    </row>
    <row r="48" spans="2:14" x14ac:dyDescent="0.35">
      <c r="B48" s="11">
        <v>3</v>
      </c>
      <c r="C48" s="11">
        <v>11</v>
      </c>
      <c r="D48" s="11" t="s">
        <v>181</v>
      </c>
      <c r="E48" s="3" t="s">
        <v>184</v>
      </c>
      <c r="F48" s="4">
        <v>1722.2300450773314</v>
      </c>
      <c r="G48" s="4">
        <v>1722.2300450773314</v>
      </c>
    </row>
    <row r="49" spans="2:7" ht="29" x14ac:dyDescent="0.35">
      <c r="B49" s="11">
        <v>3</v>
      </c>
      <c r="C49" s="11">
        <v>12</v>
      </c>
      <c r="D49" s="11" t="s">
        <v>181</v>
      </c>
      <c r="E49" s="3" t="s">
        <v>185</v>
      </c>
      <c r="F49" s="4">
        <v>95.631572615732779</v>
      </c>
      <c r="G49" s="4">
        <v>95.631572615732779</v>
      </c>
    </row>
    <row r="50" spans="2:7" x14ac:dyDescent="0.35">
      <c r="B50" s="11">
        <v>3</v>
      </c>
      <c r="C50" s="11">
        <v>13</v>
      </c>
      <c r="D50" s="11" t="s">
        <v>181</v>
      </c>
      <c r="E50" s="3" t="s">
        <v>186</v>
      </c>
      <c r="F50" s="4">
        <v>0</v>
      </c>
      <c r="G50" s="4">
        <v>0</v>
      </c>
    </row>
    <row r="51" spans="2:7" x14ac:dyDescent="0.35">
      <c r="B51" s="11">
        <v>3</v>
      </c>
      <c r="C51" s="11">
        <v>14</v>
      </c>
      <c r="D51" s="11" t="s">
        <v>181</v>
      </c>
      <c r="E51" s="3" t="s">
        <v>187</v>
      </c>
      <c r="F51" s="4">
        <v>0</v>
      </c>
      <c r="G51" s="4">
        <v>0</v>
      </c>
    </row>
    <row r="52" spans="2:7" x14ac:dyDescent="0.35">
      <c r="B52" s="11">
        <v>3</v>
      </c>
      <c r="C52" s="11">
        <v>15</v>
      </c>
      <c r="D52" s="11" t="s">
        <v>181</v>
      </c>
      <c r="E52" s="3" t="s">
        <v>188</v>
      </c>
      <c r="F52" s="4">
        <v>0</v>
      </c>
      <c r="G52" s="4">
        <v>0</v>
      </c>
    </row>
    <row r="53" spans="2:7" x14ac:dyDescent="0.35">
      <c r="B53" s="49" t="s">
        <v>111</v>
      </c>
      <c r="C53" s="50"/>
      <c r="D53" s="50"/>
      <c r="E53" s="51"/>
      <c r="F53" s="6">
        <f>SUM(F29:F52)</f>
        <v>229915.94233448428</v>
      </c>
      <c r="G53" s="6">
        <f>SUM(G29:G52)</f>
        <v>229684.6930629636</v>
      </c>
    </row>
  </sheetData>
  <mergeCells count="1">
    <mergeCell ref="B53:E5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51a6b49-f4af-444d-b7aa-320437c4d330">
      <Terms xmlns="http://schemas.microsoft.com/office/infopath/2007/PartnerControls"/>
    </lcf76f155ced4ddcb4097134ff3c332f>
    <TaxCatchAll xmlns="b285cfe9-335a-47f7-aba6-b7b942765f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C1400B1C00E54D97C09F042440FCE5" ma:contentTypeVersion="17" ma:contentTypeDescription="Create a new document." ma:contentTypeScope="" ma:versionID="01bb74de001aef953297d47417a3ea62">
  <xsd:schema xmlns:xsd="http://www.w3.org/2001/XMLSchema" xmlns:xs="http://www.w3.org/2001/XMLSchema" xmlns:p="http://schemas.microsoft.com/office/2006/metadata/properties" xmlns:ns2="d51a6b49-f4af-444d-b7aa-320437c4d330" xmlns:ns3="b285cfe9-335a-47f7-aba6-b7b942765f16" targetNamespace="http://schemas.microsoft.com/office/2006/metadata/properties" ma:root="true" ma:fieldsID="833a82ac62f04ccbe6918651c3618c3c" ns2:_="" ns3:_="">
    <xsd:import namespace="d51a6b49-f4af-444d-b7aa-320437c4d330"/>
    <xsd:import namespace="b285cfe9-335a-47f7-aba6-b7b942765f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a6b49-f4af-444d-b7aa-320437c4d3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46b471-8aba-4b15-b32a-c11ce3eeac9f"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85cfe9-335a-47f7-aba6-b7b942765f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9185bd9-67f3-48be-9649-2cc252d648b0}" ma:internalName="TaxCatchAll" ma:showField="CatchAllData" ma:web="b285cfe9-335a-47f7-aba6-b7b942765f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8EE794-CC61-43E3-8CD4-B56C710801ED}">
  <ds:schemaRefs>
    <ds:schemaRef ds:uri="http://schemas.microsoft.com/office/2006/metadata/properties"/>
    <ds:schemaRef ds:uri="http://schemas.microsoft.com/office/infopath/2007/PartnerControls"/>
    <ds:schemaRef ds:uri="f40964be-6634-4880-8baa-74656ef118c1"/>
    <ds:schemaRef ds:uri="537fe772-70bf-43e1-9a02-335bbc0021a9"/>
    <ds:schemaRef ds:uri="d51a6b49-f4af-444d-b7aa-320437c4d330"/>
    <ds:schemaRef ds:uri="b285cfe9-335a-47f7-aba6-b7b942765f16"/>
  </ds:schemaRefs>
</ds:datastoreItem>
</file>

<file path=customXml/itemProps2.xml><?xml version="1.0" encoding="utf-8"?>
<ds:datastoreItem xmlns:ds="http://schemas.openxmlformats.org/officeDocument/2006/customXml" ds:itemID="{EC6513D1-E079-4A4B-AE11-36B17C8B81D3}">
  <ds:schemaRefs>
    <ds:schemaRef ds:uri="http://schemas.microsoft.com/sharepoint/v3/contenttype/forms"/>
  </ds:schemaRefs>
</ds:datastoreItem>
</file>

<file path=customXml/itemProps3.xml><?xml version="1.0" encoding="utf-8"?>
<ds:datastoreItem xmlns:ds="http://schemas.openxmlformats.org/officeDocument/2006/customXml" ds:itemID="{513969DC-27DE-4593-9D40-99EFAF3793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1a6b49-f4af-444d-b7aa-320437c4d330"/>
    <ds:schemaRef ds:uri="b285cfe9-335a-47f7-aba6-b7b942765f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FY25 H1</vt:lpstr>
      <vt:lpstr>FY24</vt:lpstr>
      <vt:lpstr>FY24 + HFM</vt:lpstr>
      <vt:lpstr>HFM Codes</vt:lpstr>
      <vt:lpstr>FY23</vt:lpstr>
      <vt:lpstr>FY22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Alfie Nunez Strutt</dc:creator>
  <cp:keywords/>
  <dc:description/>
  <cp:lastModifiedBy>Taiwo Falayi</cp:lastModifiedBy>
  <cp:revision/>
  <dcterms:created xsi:type="dcterms:W3CDTF">2025-04-29T16:28:24Z</dcterms:created>
  <dcterms:modified xsi:type="dcterms:W3CDTF">2026-04-30T10:57:18Z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0x0101006CC1400B1C00E54D97C09F042440FCE5</vt:lpwstr>
  </property>
  <property fmtid="{D5CDD505-2E9C-101B-9397-08002B2CF9AE}" pid="4" name="_dlc_DocIdItemGuid">
    <vt:lpwstr>dcf18818-2439-46d2-92c8-b30c2c31d5aa</vt:lpwstr>
  </property>
</Properties>
</file>